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ovar Soluções\Downloads\"/>
    </mc:Choice>
  </mc:AlternateContent>
  <xr:revisionPtr revIDLastSave="0" documentId="8_{C3831B28-D449-4DC5-8465-C222B2C4DB83}" xr6:coauthVersionLast="47" xr6:coauthVersionMax="47" xr10:uidLastSave="{00000000-0000-0000-0000-000000000000}"/>
  <bookViews>
    <workbookView xWindow="-108" yWindow="-108" windowWidth="23256" windowHeight="12456" xr2:uid="{709E963E-6E84-470D-B488-2625ED86B4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9" i="1" l="1"/>
  <c r="N88" i="1"/>
  <c r="M88" i="1"/>
  <c r="L88" i="1"/>
  <c r="K88" i="1"/>
  <c r="J88" i="1"/>
  <c r="I88" i="1"/>
  <c r="H88" i="1"/>
  <c r="G88" i="1"/>
  <c r="F88" i="1"/>
  <c r="E88" i="1"/>
  <c r="D88" i="1"/>
  <c r="C88" i="1"/>
  <c r="O88" i="1" s="1"/>
  <c r="O87" i="1"/>
  <c r="O86" i="1"/>
  <c r="N85" i="1"/>
  <c r="M85" i="1"/>
  <c r="L85" i="1"/>
  <c r="K85" i="1"/>
  <c r="J85" i="1"/>
  <c r="I85" i="1"/>
  <c r="H85" i="1"/>
  <c r="G85" i="1"/>
  <c r="F85" i="1"/>
  <c r="E85" i="1"/>
  <c r="D85" i="1"/>
  <c r="C85" i="1"/>
  <c r="O85" i="1" s="1"/>
  <c r="O84" i="1"/>
  <c r="O83" i="1"/>
  <c r="O82" i="1"/>
  <c r="O81" i="1"/>
  <c r="O80" i="1"/>
  <c r="O79" i="1"/>
  <c r="O78" i="1"/>
  <c r="O77" i="1"/>
  <c r="O76" i="1"/>
  <c r="N75" i="1"/>
  <c r="M75" i="1"/>
  <c r="L75" i="1"/>
  <c r="K75" i="1"/>
  <c r="J75" i="1"/>
  <c r="I75" i="1"/>
  <c r="H75" i="1"/>
  <c r="G75" i="1"/>
  <c r="O75" i="1" s="1"/>
  <c r="F75" i="1"/>
  <c r="E75" i="1"/>
  <c r="D75" i="1"/>
  <c r="C75" i="1"/>
  <c r="O74" i="1"/>
  <c r="O73" i="1"/>
  <c r="O72" i="1"/>
  <c r="O71" i="1"/>
  <c r="O70" i="1"/>
  <c r="O69" i="1"/>
  <c r="O68" i="1"/>
  <c r="O66" i="1"/>
  <c r="M65" i="1"/>
  <c r="L65" i="1"/>
  <c r="E65" i="1"/>
  <c r="D65" i="1"/>
  <c r="I64" i="1"/>
  <c r="N63" i="1"/>
  <c r="G63" i="1"/>
  <c r="F63" i="1"/>
  <c r="L62" i="1"/>
  <c r="K62" i="1"/>
  <c r="D62" i="1"/>
  <c r="C62" i="1"/>
  <c r="L61" i="1"/>
  <c r="I61" i="1"/>
  <c r="H61" i="1"/>
  <c r="D61" i="1"/>
  <c r="N60" i="1"/>
  <c r="M60" i="1"/>
  <c r="L60" i="1"/>
  <c r="F60" i="1"/>
  <c r="E60" i="1"/>
  <c r="D60" i="1"/>
  <c r="N59" i="1"/>
  <c r="N61" i="1" s="1"/>
  <c r="M59" i="1"/>
  <c r="M61" i="1" s="1"/>
  <c r="L59" i="1"/>
  <c r="L63" i="1" s="1"/>
  <c r="K59" i="1"/>
  <c r="K60" i="1" s="1"/>
  <c r="J59" i="1"/>
  <c r="J65" i="1" s="1"/>
  <c r="I59" i="1"/>
  <c r="I62" i="1" s="1"/>
  <c r="H59" i="1"/>
  <c r="H62" i="1" s="1"/>
  <c r="G59" i="1"/>
  <c r="G64" i="1" s="1"/>
  <c r="F59" i="1"/>
  <c r="F61" i="1" s="1"/>
  <c r="E59" i="1"/>
  <c r="E61" i="1" s="1"/>
  <c r="D59" i="1"/>
  <c r="D63" i="1" s="1"/>
  <c r="C59" i="1"/>
  <c r="C60" i="1" s="1"/>
  <c r="O60" i="1" s="1"/>
  <c r="O58" i="1"/>
  <c r="O57" i="1"/>
  <c r="O56" i="1"/>
  <c r="O55" i="1"/>
  <c r="O54" i="1"/>
  <c r="O53" i="1"/>
  <c r="O52" i="1"/>
  <c r="O51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O49" i="1"/>
  <c r="O44" i="1"/>
  <c r="N43" i="1"/>
  <c r="M43" i="1"/>
  <c r="L43" i="1"/>
  <c r="K43" i="1"/>
  <c r="J43" i="1"/>
  <c r="I43" i="1"/>
  <c r="H43" i="1"/>
  <c r="G43" i="1"/>
  <c r="F43" i="1"/>
  <c r="O43" i="1" s="1"/>
  <c r="E43" i="1"/>
  <c r="D43" i="1"/>
  <c r="C43" i="1"/>
  <c r="O42" i="1"/>
  <c r="O41" i="1"/>
  <c r="N40" i="1"/>
  <c r="M40" i="1"/>
  <c r="L40" i="1"/>
  <c r="K40" i="1"/>
  <c r="J40" i="1"/>
  <c r="I40" i="1"/>
  <c r="H40" i="1"/>
  <c r="G40" i="1"/>
  <c r="F40" i="1"/>
  <c r="E40" i="1"/>
  <c r="D40" i="1"/>
  <c r="C40" i="1"/>
  <c r="O40" i="1" s="1"/>
  <c r="O39" i="1"/>
  <c r="O38" i="1"/>
  <c r="O37" i="1"/>
  <c r="O36" i="1"/>
  <c r="O35" i="1"/>
  <c r="O34" i="1"/>
  <c r="O33" i="1"/>
  <c r="O32" i="1"/>
  <c r="O31" i="1"/>
  <c r="N30" i="1"/>
  <c r="M30" i="1"/>
  <c r="L30" i="1"/>
  <c r="K30" i="1"/>
  <c r="J30" i="1"/>
  <c r="I30" i="1"/>
  <c r="H30" i="1"/>
  <c r="G30" i="1"/>
  <c r="F30" i="1"/>
  <c r="E30" i="1"/>
  <c r="D30" i="1"/>
  <c r="C30" i="1"/>
  <c r="O30" i="1" s="1"/>
  <c r="O29" i="1"/>
  <c r="O28" i="1"/>
  <c r="O27" i="1"/>
  <c r="O26" i="1"/>
  <c r="O25" i="1"/>
  <c r="O24" i="1"/>
  <c r="O23" i="1"/>
  <c r="O21" i="1"/>
  <c r="I20" i="1"/>
  <c r="H20" i="1"/>
  <c r="M19" i="1"/>
  <c r="K19" i="1"/>
  <c r="E19" i="1"/>
  <c r="C19" i="1"/>
  <c r="K18" i="1"/>
  <c r="J18" i="1"/>
  <c r="H18" i="1"/>
  <c r="C18" i="1"/>
  <c r="M17" i="1"/>
  <c r="H17" i="1"/>
  <c r="G17" i="1"/>
  <c r="E17" i="1"/>
  <c r="M16" i="1"/>
  <c r="L16" i="1"/>
  <c r="J16" i="1"/>
  <c r="E16" i="1"/>
  <c r="D16" i="1"/>
  <c r="J15" i="1"/>
  <c r="I15" i="1"/>
  <c r="N14" i="1"/>
  <c r="N20" i="1" s="1"/>
  <c r="M14" i="1"/>
  <c r="M20" i="1" s="1"/>
  <c r="L14" i="1"/>
  <c r="L17" i="1" s="1"/>
  <c r="K14" i="1"/>
  <c r="K17" i="1" s="1"/>
  <c r="J14" i="1"/>
  <c r="J19" i="1" s="1"/>
  <c r="I14" i="1"/>
  <c r="I16" i="1" s="1"/>
  <c r="H14" i="1"/>
  <c r="H16" i="1" s="1"/>
  <c r="G14" i="1"/>
  <c r="G15" i="1" s="1"/>
  <c r="F14" i="1"/>
  <c r="F20" i="1" s="1"/>
  <c r="E14" i="1"/>
  <c r="E20" i="1" s="1"/>
  <c r="D14" i="1"/>
  <c r="D17" i="1" s="1"/>
  <c r="C14" i="1"/>
  <c r="C17" i="1" s="1"/>
  <c r="O13" i="1"/>
  <c r="O12" i="1"/>
  <c r="O11" i="1"/>
  <c r="O10" i="1"/>
  <c r="O9" i="1"/>
  <c r="O8" i="1"/>
  <c r="O7" i="1"/>
  <c r="O6" i="1"/>
  <c r="N5" i="1"/>
  <c r="M5" i="1"/>
  <c r="L5" i="1"/>
  <c r="K5" i="1"/>
  <c r="J5" i="1"/>
  <c r="I5" i="1"/>
  <c r="H5" i="1"/>
  <c r="G5" i="1"/>
  <c r="F5" i="1"/>
  <c r="E5" i="1"/>
  <c r="D5" i="1"/>
  <c r="C5" i="1"/>
  <c r="O5" i="1" s="1"/>
  <c r="O4" i="1"/>
  <c r="O17" i="1" l="1"/>
  <c r="O14" i="1"/>
  <c r="H15" i="1"/>
  <c r="C16" i="1"/>
  <c r="K16" i="1"/>
  <c r="F17" i="1"/>
  <c r="N17" i="1"/>
  <c r="I18" i="1"/>
  <c r="D19" i="1"/>
  <c r="O19" i="1" s="1"/>
  <c r="L19" i="1"/>
  <c r="G20" i="1"/>
  <c r="G61" i="1"/>
  <c r="J62" i="1"/>
  <c r="E63" i="1"/>
  <c r="M63" i="1"/>
  <c r="H64" i="1"/>
  <c r="C65" i="1"/>
  <c r="K65" i="1"/>
  <c r="C15" i="1"/>
  <c r="K15" i="1"/>
  <c r="F16" i="1"/>
  <c r="N16" i="1"/>
  <c r="I17" i="1"/>
  <c r="D18" i="1"/>
  <c r="O18" i="1" s="1"/>
  <c r="L18" i="1"/>
  <c r="G19" i="1"/>
  <c r="J20" i="1"/>
  <c r="G60" i="1"/>
  <c r="J61" i="1"/>
  <c r="E62" i="1"/>
  <c r="M62" i="1"/>
  <c r="H63" i="1"/>
  <c r="C64" i="1"/>
  <c r="K64" i="1"/>
  <c r="F65" i="1"/>
  <c r="N65" i="1"/>
  <c r="D15" i="1"/>
  <c r="L15" i="1"/>
  <c r="G16" i="1"/>
  <c r="J17" i="1"/>
  <c r="E18" i="1"/>
  <c r="M18" i="1"/>
  <c r="H19" i="1"/>
  <c r="C20" i="1"/>
  <c r="K20" i="1"/>
  <c r="H60" i="1"/>
  <c r="C61" i="1"/>
  <c r="O61" i="1" s="1"/>
  <c r="K61" i="1"/>
  <c r="F62" i="1"/>
  <c r="O62" i="1" s="1"/>
  <c r="N62" i="1"/>
  <c r="I63" i="1"/>
  <c r="D64" i="1"/>
  <c r="L64" i="1"/>
  <c r="G65" i="1"/>
  <c r="F19" i="1"/>
  <c r="E15" i="1"/>
  <c r="M15" i="1"/>
  <c r="F18" i="1"/>
  <c r="N18" i="1"/>
  <c r="I19" i="1"/>
  <c r="D20" i="1"/>
  <c r="L20" i="1"/>
  <c r="I60" i="1"/>
  <c r="G62" i="1"/>
  <c r="J63" i="1"/>
  <c r="E64" i="1"/>
  <c r="M64" i="1"/>
  <c r="H65" i="1"/>
  <c r="N19" i="1"/>
  <c r="J64" i="1"/>
  <c r="F15" i="1"/>
  <c r="N15" i="1"/>
  <c r="G18" i="1"/>
  <c r="O59" i="1"/>
  <c r="J60" i="1"/>
  <c r="C63" i="1"/>
  <c r="O63" i="1" s="1"/>
  <c r="K63" i="1"/>
  <c r="F64" i="1"/>
  <c r="N64" i="1"/>
  <c r="I65" i="1"/>
  <c r="O20" i="1" l="1"/>
  <c r="O15" i="1"/>
  <c r="O64" i="1"/>
  <c r="O65" i="1"/>
  <c r="O16" i="1"/>
</calcChain>
</file>

<file path=xl/sharedStrings.xml><?xml version="1.0" encoding="utf-8"?>
<sst xmlns="http://schemas.openxmlformats.org/spreadsheetml/2006/main" count="133" uniqueCount="57">
  <si>
    <t>UPA DE LUZIÂNIA - UPA II</t>
  </si>
  <si>
    <t>MARÇO.26</t>
  </si>
  <si>
    <t>ABRIL.26</t>
  </si>
  <si>
    <t>MAIO.26</t>
  </si>
  <si>
    <t>JUNHO.26</t>
  </si>
  <si>
    <t>JULHO.26</t>
  </si>
  <si>
    <t>AGOSTO.26</t>
  </si>
  <si>
    <t>SETEMBRO.26</t>
  </si>
  <si>
    <t>OUTUBRO.26</t>
  </si>
  <si>
    <t>NOVEMBRO.26</t>
  </si>
  <si>
    <t>DEZEMBRO.26</t>
  </si>
  <si>
    <t>JANEIRO.27</t>
  </si>
  <si>
    <t>FEVEREIRO.27</t>
  </si>
  <si>
    <t>TOTAL</t>
  </si>
  <si>
    <t>PACIENTES RECEPCIONADOS</t>
  </si>
  <si>
    <t>MÉDIA DIÁRIA</t>
  </si>
  <si>
    <t>ATENDIMENTOS MÉDICOS</t>
  </si>
  <si>
    <t>META</t>
  </si>
  <si>
    <t>ATENDIMENTOS POR CLASSIFICAÇÃO DE RISCO</t>
  </si>
  <si>
    <t>NÃO URGENTE (AZUL)</t>
  </si>
  <si>
    <t>POUCO URGENTE (VERDE)</t>
  </si>
  <si>
    <t>URGENTE (AMARELO)</t>
  </si>
  <si>
    <t>MUITO URGENTE (LARANJA)</t>
  </si>
  <si>
    <t>EMERGÊNCIA (VERMELHO)</t>
  </si>
  <si>
    <t>Não informado</t>
  </si>
  <si>
    <t>TOTAL DE ATENDIMENTOS POR CLASSIFICAÇÃO DE RISCO</t>
  </si>
  <si>
    <t>PERCENTUAL DE ATENDIMENTOS POR CLASSIFICAÇÃO DE RISCOS</t>
  </si>
  <si>
    <t>Não Informado</t>
  </si>
  <si>
    <t>TEMPO DE ESPERA PARA CLASSIFICAÇÃO DE RISCO</t>
  </si>
  <si>
    <t>MÉDIA GERAL</t>
  </si>
  <si>
    <t>TEMPO MÉDIO DE ESPERA DE ATENDIMENTO MÉDICO POR CLASSIFICAÇÃO DE RISCO</t>
  </si>
  <si>
    <t>TEMPO DE PERMANÊNCIA DE PACIENTES INTERNADOS</t>
  </si>
  <si>
    <t>TEMPO MÉDIO DE PERMANÊNCIA GERAL</t>
  </si>
  <si>
    <t>TEMPO DE PERMANÊNCIA DE PACIENTES SEM INTERNAÇÃO</t>
  </si>
  <si>
    <t>TEMPO MÉDIO DE PERMANÊNCIA ATENDIMENTOS DE PORTA</t>
  </si>
  <si>
    <t>TRANSFERÊNCIAS (REMOÇÕES)</t>
  </si>
  <si>
    <t>PERCENTUAL DE TRANSFERÊNCIAS PACIENTES INTERNADOS POR USA</t>
  </si>
  <si>
    <t>EXAMES INTERNOS</t>
  </si>
  <si>
    <t>RAIO-X</t>
  </si>
  <si>
    <t>PATOLOGIA CLINICA</t>
  </si>
  <si>
    <t>ELETROCARDIOGRAMA</t>
  </si>
  <si>
    <t xml:space="preserve">ATENDIMENTOS DIVIDIDOS POR FAIXA ETARIA </t>
  </si>
  <si>
    <t>&lt; 1 ANO</t>
  </si>
  <si>
    <t>1 - 4 ANOS</t>
  </si>
  <si>
    <t>5 - 9 ANOS</t>
  </si>
  <si>
    <t>10 - 14 ANOS</t>
  </si>
  <si>
    <t>15 - 19 ANOS</t>
  </si>
  <si>
    <t>20 - 39 ANOS</t>
  </si>
  <si>
    <t>40 - 49 ANOS</t>
  </si>
  <si>
    <t>50 - 59 ANOS</t>
  </si>
  <si>
    <t>60 OU MAIS</t>
  </si>
  <si>
    <t>ATENDIMENTOS DE  PACIENTES</t>
  </si>
  <si>
    <t>DA CIDADE</t>
  </si>
  <si>
    <t>DE OUTRAS CIDADES</t>
  </si>
  <si>
    <t>ÓBITOS</t>
  </si>
  <si>
    <t>UPA JARDIM INGÁ - UPA I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</si>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</sst>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h:mm:ss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D5A0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center" wrapText="1" indent="6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0" fontId="0" fillId="3" borderId="1" xfId="0" applyNumberForma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1" fontId="0" fillId="4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11" borderId="0" xfId="0" applyFill="1" applyAlignment="1">
      <alignment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21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8965</xdr:colOff>
      <xdr:row>0</xdr:row>
      <xdr:rowOff>95474</xdr:rowOff>
    </xdr:from>
    <xdr:to>
      <xdr:col>1</xdr:col>
      <xdr:colOff>804582</xdr:colOff>
      <xdr:row>0</xdr:row>
      <xdr:rowOff>838200</xdr:rowOff>
    </xdr:to>
    <xdr:pic>
      <xdr:nvPicPr>
        <xdr:cNvPr id="3" name="Imagem 2" descr="Logotipo&#10;&#10;O conteúdo gerado por IA pode estar incorreto.">
          <a:extLst>
            <a:ext uri="{FF2B5EF4-FFF2-40B4-BE49-F238E27FC236}">
              <a16:creationId xmlns:a16="http://schemas.microsoft.com/office/drawing/2014/main" id="{4A68B929-A649-44E7-8163-F4886C6FF0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00" r="365" b="1369"/>
        <a:stretch>
          <a:fillRect/>
        </a:stretch>
      </xdr:blipFill>
      <xdr:spPr bwMode="auto">
        <a:xfrm>
          <a:off x="8965" y="95474"/>
          <a:ext cx="3013037" cy="742726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1</xdr:col>
      <xdr:colOff>1062318</xdr:colOff>
      <xdr:row>0</xdr:row>
      <xdr:rowOff>71269</xdr:rowOff>
    </xdr:from>
    <xdr:to>
      <xdr:col>1</xdr:col>
      <xdr:colOff>2634802</xdr:colOff>
      <xdr:row>0</xdr:row>
      <xdr:rowOff>838200</xdr:rowOff>
    </xdr:to>
    <xdr:pic>
      <xdr:nvPicPr>
        <xdr:cNvPr id="4" name="Imagem 3" descr="Interface gráfica do usuário, Site&#10;&#10;O conteúdo gerado por IA pode estar incorreto.">
          <a:extLst>
            <a:ext uri="{FF2B5EF4-FFF2-40B4-BE49-F238E27FC236}">
              <a16:creationId xmlns:a16="http://schemas.microsoft.com/office/drawing/2014/main" id="{1F7CD3FA-61CD-4C0C-BFD7-927D46A77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9738" y="71269"/>
          <a:ext cx="1572484" cy="7669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13</xdr:col>
      <xdr:colOff>929641</xdr:colOff>
      <xdr:row>0</xdr:row>
      <xdr:rowOff>30480</xdr:rowOff>
    </xdr:from>
    <xdr:to>
      <xdr:col>14</xdr:col>
      <xdr:colOff>1249681</xdr:colOff>
      <xdr:row>0</xdr:row>
      <xdr:rowOff>952500</xdr:rowOff>
    </xdr:to>
    <xdr:pic>
      <xdr:nvPicPr>
        <xdr:cNvPr id="5" name="Imagem 4" descr="Logotipo&#10;&#10;O conteúdo gerado por IA pode estar incorreto.">
          <a:extLst>
            <a:ext uri="{FF2B5EF4-FFF2-40B4-BE49-F238E27FC236}">
              <a16:creationId xmlns:a16="http://schemas.microsoft.com/office/drawing/2014/main" id="{90C58CCA-BC6D-4287-89B7-EC67F6F87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8600421" y="30480"/>
          <a:ext cx="1371600" cy="92202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5360-EB21-4508-96B5-0AA4F7F2AAAC}">
  <dimension ref="A1:Q89"/>
  <sheetViews>
    <sheetView tabSelected="1" workbookViewId="0">
      <selection activeCell="R3" sqref="R3"/>
    </sheetView>
  </sheetViews>
  <sheetFormatPr defaultColWidth="8.88671875" defaultRowHeight="14.4" x14ac:dyDescent="0.3"/>
  <cols>
    <col min="1" max="1" width="32.33203125" style="45" customWidth="1"/>
    <col min="2" max="2" width="56.6640625" style="45" bestFit="1" customWidth="1"/>
    <col min="3" max="14" width="15.33203125" style="4" customWidth="1"/>
    <col min="15" max="15" width="21.44140625" style="4" customWidth="1"/>
    <col min="16" max="16" width="9.33203125" style="4" bestFit="1" customWidth="1"/>
    <col min="17" max="16384" width="8.88671875" style="4"/>
  </cols>
  <sheetData>
    <row r="1" spans="1:17" ht="78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7" x14ac:dyDescent="0.3">
      <c r="A2" s="5" t="s">
        <v>0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7" x14ac:dyDescent="0.3">
      <c r="A3" s="7"/>
      <c r="B3" s="8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</row>
    <row r="4" spans="1:17" x14ac:dyDescent="0.3">
      <c r="A4" s="9" t="s">
        <v>14</v>
      </c>
      <c r="B4" s="8"/>
      <c r="C4" s="10">
        <v>8880</v>
      </c>
      <c r="D4" s="10">
        <v>12340</v>
      </c>
      <c r="E4" s="10">
        <v>5400</v>
      </c>
      <c r="F4" s="10"/>
      <c r="G4" s="10"/>
      <c r="H4" s="10"/>
      <c r="I4" s="10"/>
      <c r="J4" s="10"/>
      <c r="K4" s="10"/>
      <c r="L4" s="10"/>
      <c r="M4" s="10"/>
      <c r="N4" s="10"/>
      <c r="O4" s="11">
        <f>SUM(C4:N4)</f>
        <v>26620</v>
      </c>
    </row>
    <row r="5" spans="1:17" x14ac:dyDescent="0.3">
      <c r="A5" s="12" t="s">
        <v>15</v>
      </c>
      <c r="B5" s="13"/>
      <c r="C5" s="10">
        <f>C4/31</f>
        <v>286.45161290322579</v>
      </c>
      <c r="D5" s="10">
        <f>D4/30</f>
        <v>411.33333333333331</v>
      </c>
      <c r="E5" s="10">
        <f>E4/31</f>
        <v>174.19354838709677</v>
      </c>
      <c r="F5" s="10">
        <f>F4/30</f>
        <v>0</v>
      </c>
      <c r="G5" s="10">
        <f>G4/31</f>
        <v>0</v>
      </c>
      <c r="H5" s="10">
        <f>H4/31</f>
        <v>0</v>
      </c>
      <c r="I5" s="10">
        <f>I4/30</f>
        <v>0</v>
      </c>
      <c r="J5" s="10">
        <f>J4/31</f>
        <v>0</v>
      </c>
      <c r="K5" s="10">
        <f>K4/30</f>
        <v>0</v>
      </c>
      <c r="L5" s="10">
        <f>L4/31</f>
        <v>0</v>
      </c>
      <c r="M5" s="10">
        <f>M4/31</f>
        <v>0</v>
      </c>
      <c r="N5" s="10">
        <f>N4/28</f>
        <v>0</v>
      </c>
      <c r="O5" s="11">
        <f>AVERAGE(C5:N5)</f>
        <v>72.664874551971323</v>
      </c>
    </row>
    <row r="6" spans="1:17" x14ac:dyDescent="0.3">
      <c r="A6" s="9" t="s">
        <v>16</v>
      </c>
      <c r="B6" s="8"/>
      <c r="C6" s="10">
        <v>12000</v>
      </c>
      <c r="D6" s="10">
        <v>9400</v>
      </c>
      <c r="E6" s="10">
        <v>10500</v>
      </c>
      <c r="F6" s="10">
        <v>12800</v>
      </c>
      <c r="G6" s="10"/>
      <c r="H6" s="10"/>
      <c r="I6" s="10"/>
      <c r="J6" s="10"/>
      <c r="K6" s="10"/>
      <c r="L6" s="10"/>
      <c r="M6" s="10"/>
      <c r="N6" s="10"/>
      <c r="O6" s="11">
        <f>SUM(C6:N6)</f>
        <v>44700</v>
      </c>
    </row>
    <row r="7" spans="1:17" s="18" customFormat="1" x14ac:dyDescent="0.3">
      <c r="A7" s="14" t="s">
        <v>17</v>
      </c>
      <c r="B7" s="15"/>
      <c r="C7" s="16">
        <v>8000</v>
      </c>
      <c r="D7" s="16">
        <v>8000</v>
      </c>
      <c r="E7" s="16">
        <v>8000</v>
      </c>
      <c r="F7" s="16">
        <v>8000</v>
      </c>
      <c r="G7" s="16">
        <v>8000</v>
      </c>
      <c r="H7" s="16">
        <v>8000</v>
      </c>
      <c r="I7" s="16">
        <v>8000</v>
      </c>
      <c r="J7" s="16">
        <v>8000</v>
      </c>
      <c r="K7" s="16">
        <v>8000</v>
      </c>
      <c r="L7" s="16">
        <v>8000</v>
      </c>
      <c r="M7" s="16">
        <v>8000</v>
      </c>
      <c r="N7" s="16">
        <v>8000</v>
      </c>
      <c r="O7" s="17">
        <f>SUM(C7:N7)</f>
        <v>96000</v>
      </c>
      <c r="Q7" s="19"/>
    </row>
    <row r="8" spans="1:17" x14ac:dyDescent="0.3">
      <c r="A8" s="9" t="s">
        <v>18</v>
      </c>
      <c r="B8" s="20" t="s">
        <v>19</v>
      </c>
      <c r="C8" s="10">
        <v>300</v>
      </c>
      <c r="D8" s="10">
        <v>34</v>
      </c>
      <c r="E8" s="10">
        <v>150</v>
      </c>
      <c r="F8" s="10"/>
      <c r="G8" s="10"/>
      <c r="H8" s="10"/>
      <c r="I8" s="10"/>
      <c r="J8" s="10"/>
      <c r="K8" s="10"/>
      <c r="L8" s="10"/>
      <c r="M8" s="10"/>
      <c r="N8" s="10"/>
      <c r="O8" s="11">
        <f t="shared" ref="O8:O14" si="0">SUM(C8:N8)</f>
        <v>484</v>
      </c>
    </row>
    <row r="9" spans="1:17" x14ac:dyDescent="0.3">
      <c r="A9" s="8"/>
      <c r="B9" s="21" t="s">
        <v>20</v>
      </c>
      <c r="C9" s="10">
        <v>96</v>
      </c>
      <c r="D9" s="10">
        <v>1240</v>
      </c>
      <c r="E9" s="10">
        <v>7580</v>
      </c>
      <c r="F9" s="10"/>
      <c r="G9" s="10"/>
      <c r="H9" s="10"/>
      <c r="I9" s="10"/>
      <c r="J9" s="10"/>
      <c r="K9" s="10"/>
      <c r="L9" s="10"/>
      <c r="M9" s="10"/>
      <c r="N9" s="10"/>
      <c r="O9" s="11">
        <f t="shared" si="0"/>
        <v>8916</v>
      </c>
    </row>
    <row r="10" spans="1:17" x14ac:dyDescent="0.3">
      <c r="A10" s="8"/>
      <c r="B10" s="22" t="s">
        <v>21</v>
      </c>
      <c r="C10" s="10">
        <v>84</v>
      </c>
      <c r="D10" s="10">
        <v>1000</v>
      </c>
      <c r="E10" s="10">
        <v>3400</v>
      </c>
      <c r="F10" s="10"/>
      <c r="G10" s="10"/>
      <c r="H10" s="10"/>
      <c r="I10" s="10"/>
      <c r="J10" s="10"/>
      <c r="K10" s="10"/>
      <c r="L10" s="10"/>
      <c r="M10" s="10"/>
      <c r="N10" s="10"/>
      <c r="O10" s="11">
        <f t="shared" si="0"/>
        <v>4484</v>
      </c>
    </row>
    <row r="11" spans="1:17" x14ac:dyDescent="0.3">
      <c r="A11" s="8"/>
      <c r="B11" s="23" t="s">
        <v>22</v>
      </c>
      <c r="C11" s="10">
        <v>16</v>
      </c>
      <c r="D11" s="10">
        <v>800</v>
      </c>
      <c r="E11" s="10">
        <v>200</v>
      </c>
      <c r="F11" s="10"/>
      <c r="G11" s="10"/>
      <c r="H11" s="10"/>
      <c r="I11" s="10"/>
      <c r="J11" s="10"/>
      <c r="K11" s="10"/>
      <c r="L11" s="10"/>
      <c r="M11" s="10"/>
      <c r="N11" s="10"/>
      <c r="O11" s="11">
        <f t="shared" si="0"/>
        <v>1016</v>
      </c>
    </row>
    <row r="12" spans="1:17" x14ac:dyDescent="0.3">
      <c r="A12" s="8"/>
      <c r="B12" s="24" t="s">
        <v>23</v>
      </c>
      <c r="C12" s="10">
        <v>25</v>
      </c>
      <c r="D12" s="10">
        <v>59</v>
      </c>
      <c r="E12" s="10">
        <v>94</v>
      </c>
      <c r="F12" s="10"/>
      <c r="G12" s="10"/>
      <c r="H12" s="10"/>
      <c r="I12" s="10"/>
      <c r="J12" s="10"/>
      <c r="K12" s="10"/>
      <c r="L12" s="10"/>
      <c r="M12" s="10"/>
      <c r="N12" s="10"/>
      <c r="O12" s="11">
        <f t="shared" si="0"/>
        <v>178</v>
      </c>
    </row>
    <row r="13" spans="1:17" x14ac:dyDescent="0.3">
      <c r="A13" s="8"/>
      <c r="B13" s="25" t="s">
        <v>24</v>
      </c>
      <c r="C13" s="10">
        <v>31</v>
      </c>
      <c r="D13" s="10">
        <v>21</v>
      </c>
      <c r="E13" s="10">
        <v>23</v>
      </c>
      <c r="F13" s="10"/>
      <c r="G13" s="10"/>
      <c r="H13" s="10"/>
      <c r="I13" s="10"/>
      <c r="J13" s="10"/>
      <c r="K13" s="10"/>
      <c r="L13" s="10"/>
      <c r="M13" s="10"/>
      <c r="N13" s="10"/>
      <c r="O13" s="11">
        <f t="shared" si="0"/>
        <v>75</v>
      </c>
    </row>
    <row r="14" spans="1:17" x14ac:dyDescent="0.3">
      <c r="A14" s="8"/>
      <c r="B14" s="26" t="s">
        <v>25</v>
      </c>
      <c r="C14" s="11">
        <f t="shared" ref="C14:N14" si="1">SUM(C8:C13)</f>
        <v>552</v>
      </c>
      <c r="D14" s="11">
        <f t="shared" si="1"/>
        <v>3154</v>
      </c>
      <c r="E14" s="11">
        <f t="shared" si="1"/>
        <v>11447</v>
      </c>
      <c r="F14" s="11">
        <f t="shared" si="1"/>
        <v>0</v>
      </c>
      <c r="G14" s="11">
        <f t="shared" si="1"/>
        <v>0</v>
      </c>
      <c r="H14" s="11">
        <f t="shared" si="1"/>
        <v>0</v>
      </c>
      <c r="I14" s="11">
        <f t="shared" si="1"/>
        <v>0</v>
      </c>
      <c r="J14" s="11">
        <f t="shared" si="1"/>
        <v>0</v>
      </c>
      <c r="K14" s="11">
        <f t="shared" si="1"/>
        <v>0</v>
      </c>
      <c r="L14" s="11">
        <f t="shared" si="1"/>
        <v>0</v>
      </c>
      <c r="M14" s="11">
        <f t="shared" si="1"/>
        <v>0</v>
      </c>
      <c r="N14" s="11">
        <f t="shared" si="1"/>
        <v>0</v>
      </c>
      <c r="O14" s="11">
        <f t="shared" si="0"/>
        <v>15153</v>
      </c>
    </row>
    <row r="15" spans="1:17" ht="14.4" customHeight="1" x14ac:dyDescent="0.3">
      <c r="A15" s="9" t="s">
        <v>26</v>
      </c>
      <c r="B15" s="27" t="s">
        <v>19</v>
      </c>
      <c r="C15" s="28">
        <f>C8/C14</f>
        <v>0.54347826086956519</v>
      </c>
      <c r="D15" s="28">
        <f>D8/D14</f>
        <v>1.077996195307546E-2</v>
      </c>
      <c r="E15" s="28">
        <f>E8/E14</f>
        <v>1.3103870009609504E-2</v>
      </c>
      <c r="F15" s="28" t="e">
        <f>F8/F14</f>
        <v>#DIV/0!</v>
      </c>
      <c r="G15" s="28" t="e">
        <f>G8/G14</f>
        <v>#DIV/0!</v>
      </c>
      <c r="H15" s="28" t="e">
        <f>H8/H14</f>
        <v>#DIV/0!</v>
      </c>
      <c r="I15" s="28" t="e">
        <f>I8/I14</f>
        <v>#DIV/0!</v>
      </c>
      <c r="J15" s="28" t="e">
        <f>J8/J14</f>
        <v>#DIV/0!</v>
      </c>
      <c r="K15" s="28" t="e">
        <f>K8/K14</f>
        <v>#DIV/0!</v>
      </c>
      <c r="L15" s="28" t="e">
        <f>L8/L14</f>
        <v>#DIV/0!</v>
      </c>
      <c r="M15" s="28" t="e">
        <f>M8/M14</f>
        <v>#DIV/0!</v>
      </c>
      <c r="N15" s="28" t="e">
        <f>N8/N14</f>
        <v>#DIV/0!</v>
      </c>
      <c r="O15" s="29" t="e">
        <f t="shared" ref="O15:O20" si="2">AVERAGE(C15:N15)</f>
        <v>#DIV/0!</v>
      </c>
    </row>
    <row r="16" spans="1:17" x14ac:dyDescent="0.3">
      <c r="A16" s="8"/>
      <c r="B16" s="27" t="s">
        <v>20</v>
      </c>
      <c r="C16" s="28">
        <f>C9/C14</f>
        <v>0.17391304347826086</v>
      </c>
      <c r="D16" s="28">
        <f>D9/D14</f>
        <v>0.39315155358275206</v>
      </c>
      <c r="E16" s="28">
        <f>E9/E14</f>
        <v>0.66218223115226693</v>
      </c>
      <c r="F16" s="28" t="e">
        <f>F9/F14</f>
        <v>#DIV/0!</v>
      </c>
      <c r="G16" s="28" t="e">
        <f>G9/G14</f>
        <v>#DIV/0!</v>
      </c>
      <c r="H16" s="28" t="e">
        <f>H9/H14</f>
        <v>#DIV/0!</v>
      </c>
      <c r="I16" s="28" t="e">
        <f>I9/I14</f>
        <v>#DIV/0!</v>
      </c>
      <c r="J16" s="28" t="e">
        <f>J9/J14</f>
        <v>#DIV/0!</v>
      </c>
      <c r="K16" s="28" t="e">
        <f>K9/K14</f>
        <v>#DIV/0!</v>
      </c>
      <c r="L16" s="28" t="e">
        <f>L9/L14</f>
        <v>#DIV/0!</v>
      </c>
      <c r="M16" s="28" t="e">
        <f>M9/M14</f>
        <v>#DIV/0!</v>
      </c>
      <c r="N16" s="28" t="e">
        <f>N9/N14</f>
        <v>#DIV/0!</v>
      </c>
      <c r="O16" s="29" t="e">
        <f t="shared" si="2"/>
        <v>#DIV/0!</v>
      </c>
    </row>
    <row r="17" spans="1:15" x14ac:dyDescent="0.3">
      <c r="A17" s="8"/>
      <c r="B17" s="27" t="s">
        <v>21</v>
      </c>
      <c r="C17" s="28">
        <f>C10/C14</f>
        <v>0.15217391304347827</v>
      </c>
      <c r="D17" s="28">
        <f>D10/D14</f>
        <v>0.31705770450221943</v>
      </c>
      <c r="E17" s="28">
        <f>E10/E14</f>
        <v>0.29702105355114877</v>
      </c>
      <c r="F17" s="28" t="e">
        <f>F10/F14</f>
        <v>#DIV/0!</v>
      </c>
      <c r="G17" s="28" t="e">
        <f>G10/G14</f>
        <v>#DIV/0!</v>
      </c>
      <c r="H17" s="28" t="e">
        <f>H10/H14</f>
        <v>#DIV/0!</v>
      </c>
      <c r="I17" s="28" t="e">
        <f>I10/I14</f>
        <v>#DIV/0!</v>
      </c>
      <c r="J17" s="28" t="e">
        <f>J10/J14</f>
        <v>#DIV/0!</v>
      </c>
      <c r="K17" s="28" t="e">
        <f>K10/K14</f>
        <v>#DIV/0!</v>
      </c>
      <c r="L17" s="28" t="e">
        <f>L10/L14</f>
        <v>#DIV/0!</v>
      </c>
      <c r="M17" s="28" t="e">
        <f>M10/M14</f>
        <v>#DIV/0!</v>
      </c>
      <c r="N17" s="28" t="e">
        <f>N10/N14</f>
        <v>#DIV/0!</v>
      </c>
      <c r="O17" s="29" t="e">
        <f t="shared" si="2"/>
        <v>#DIV/0!</v>
      </c>
    </row>
    <row r="18" spans="1:15" x14ac:dyDescent="0.3">
      <c r="A18" s="8"/>
      <c r="B18" s="27" t="s">
        <v>22</v>
      </c>
      <c r="C18" s="28">
        <f>C11/C14</f>
        <v>2.8985507246376812E-2</v>
      </c>
      <c r="D18" s="28">
        <f>D11/D14</f>
        <v>0.2536461636017755</v>
      </c>
      <c r="E18" s="28">
        <f>E11/E14</f>
        <v>1.747182667947934E-2</v>
      </c>
      <c r="F18" s="28" t="e">
        <f>F11/F14</f>
        <v>#DIV/0!</v>
      </c>
      <c r="G18" s="28" t="e">
        <f>G11/G14</f>
        <v>#DIV/0!</v>
      </c>
      <c r="H18" s="28" t="e">
        <f>H11/H14</f>
        <v>#DIV/0!</v>
      </c>
      <c r="I18" s="28" t="e">
        <f>I11/I14</f>
        <v>#DIV/0!</v>
      </c>
      <c r="J18" s="28" t="e">
        <f>J11/J14</f>
        <v>#DIV/0!</v>
      </c>
      <c r="K18" s="28" t="e">
        <f>K11/K14</f>
        <v>#DIV/0!</v>
      </c>
      <c r="L18" s="28" t="e">
        <f>L11/L14</f>
        <v>#DIV/0!</v>
      </c>
      <c r="M18" s="28" t="e">
        <f>M11/M14</f>
        <v>#DIV/0!</v>
      </c>
      <c r="N18" s="28" t="e">
        <f>N11/N14</f>
        <v>#DIV/0!</v>
      </c>
      <c r="O18" s="29" t="e">
        <f t="shared" si="2"/>
        <v>#DIV/0!</v>
      </c>
    </row>
    <row r="19" spans="1:15" x14ac:dyDescent="0.3">
      <c r="A19" s="8"/>
      <c r="B19" s="27" t="s">
        <v>23</v>
      </c>
      <c r="C19" s="28">
        <f>C12/C14</f>
        <v>4.5289855072463768E-2</v>
      </c>
      <c r="D19" s="28">
        <f>D12/D14</f>
        <v>1.8706404565630944E-2</v>
      </c>
      <c r="E19" s="28">
        <f>E12/E14</f>
        <v>8.2117585393552892E-3</v>
      </c>
      <c r="F19" s="28" t="e">
        <f>F12/F14</f>
        <v>#DIV/0!</v>
      </c>
      <c r="G19" s="28" t="e">
        <f>G12/G14</f>
        <v>#DIV/0!</v>
      </c>
      <c r="H19" s="28" t="e">
        <f>H12/H14</f>
        <v>#DIV/0!</v>
      </c>
      <c r="I19" s="28" t="e">
        <f>I12/I14</f>
        <v>#DIV/0!</v>
      </c>
      <c r="J19" s="28" t="e">
        <f>J12/J14</f>
        <v>#DIV/0!</v>
      </c>
      <c r="K19" s="28" t="e">
        <f>K12/K14</f>
        <v>#DIV/0!</v>
      </c>
      <c r="L19" s="28" t="e">
        <f>L12/L14</f>
        <v>#DIV/0!</v>
      </c>
      <c r="M19" s="28" t="e">
        <f>M12/M14</f>
        <v>#DIV/0!</v>
      </c>
      <c r="N19" s="28" t="e">
        <f>N12/N14</f>
        <v>#DIV/0!</v>
      </c>
      <c r="O19" s="29" t="e">
        <f t="shared" si="2"/>
        <v>#DIV/0!</v>
      </c>
    </row>
    <row r="20" spans="1:15" x14ac:dyDescent="0.3">
      <c r="A20" s="8"/>
      <c r="B20" s="27" t="s">
        <v>27</v>
      </c>
      <c r="C20" s="28">
        <f>C13/C14</f>
        <v>5.6159420289855072E-2</v>
      </c>
      <c r="D20" s="28">
        <f>D13/D14</f>
        <v>6.6582117945466071E-3</v>
      </c>
      <c r="E20" s="28">
        <f>E13/E14</f>
        <v>2.0092600681401239E-3</v>
      </c>
      <c r="F20" s="28" t="e">
        <f>F13/F14</f>
        <v>#DIV/0!</v>
      </c>
      <c r="G20" s="28" t="e">
        <f>G13/G14</f>
        <v>#DIV/0!</v>
      </c>
      <c r="H20" s="28" t="e">
        <f>H13/H14</f>
        <v>#DIV/0!</v>
      </c>
      <c r="I20" s="28" t="e">
        <f>I13/I14</f>
        <v>#DIV/0!</v>
      </c>
      <c r="J20" s="28" t="e">
        <f>J13/J14</f>
        <v>#DIV/0!</v>
      </c>
      <c r="K20" s="28" t="e">
        <f>K13/K14</f>
        <v>#DIV/0!</v>
      </c>
      <c r="L20" s="28" t="e">
        <f>L13/L14</f>
        <v>#DIV/0!</v>
      </c>
      <c r="M20" s="28" t="e">
        <f>M13/M14</f>
        <v>#DIV/0!</v>
      </c>
      <c r="N20" s="28" t="e">
        <f>N13/N14</f>
        <v>#DIV/0!</v>
      </c>
      <c r="O20" s="29" t="e">
        <f t="shared" si="2"/>
        <v>#DIV/0!</v>
      </c>
    </row>
    <row r="21" spans="1:15" ht="39" customHeight="1" x14ac:dyDescent="0.3">
      <c r="A21" s="27" t="s">
        <v>28</v>
      </c>
      <c r="B21" s="27" t="s">
        <v>29</v>
      </c>
      <c r="C21" s="30">
        <v>6.2500000000000003E-3</v>
      </c>
      <c r="D21" s="30">
        <v>8.3333333333333332E-3</v>
      </c>
      <c r="E21" s="30">
        <v>7.6388888888888886E-3</v>
      </c>
      <c r="F21" s="30"/>
      <c r="G21" s="30"/>
      <c r="H21" s="30"/>
      <c r="I21" s="30"/>
      <c r="J21" s="30"/>
      <c r="K21" s="30"/>
      <c r="L21" s="30"/>
      <c r="M21" s="30"/>
      <c r="N21" s="30"/>
      <c r="O21" s="30">
        <f>AVERAGE(C21:N21)</f>
        <v>7.4074074074074077E-3</v>
      </c>
    </row>
    <row r="22" spans="1:15" s="18" customFormat="1" ht="13.5" customHeight="1" x14ac:dyDescent="0.3">
      <c r="A22" s="22" t="s">
        <v>17</v>
      </c>
      <c r="B22" s="22"/>
      <c r="C22" s="31">
        <v>6.9444444444444441E-3</v>
      </c>
      <c r="D22" s="31">
        <v>6.9444444444444441E-3</v>
      </c>
      <c r="E22" s="31">
        <v>6.9444444444444441E-3</v>
      </c>
      <c r="F22" s="31">
        <v>6.9444444444444441E-3</v>
      </c>
      <c r="G22" s="31">
        <v>6.9444444444444441E-3</v>
      </c>
      <c r="H22" s="31">
        <v>6.9444444444444441E-3</v>
      </c>
      <c r="I22" s="31">
        <v>6.9444444444444441E-3</v>
      </c>
      <c r="J22" s="31">
        <v>6.9444444444444441E-3</v>
      </c>
      <c r="K22" s="31">
        <v>6.9444444444444441E-3</v>
      </c>
      <c r="L22" s="31">
        <v>6.9444444444444441E-3</v>
      </c>
      <c r="M22" s="31">
        <v>6.9444444444444441E-3</v>
      </c>
      <c r="N22" s="31">
        <v>6.9444444444444441E-3</v>
      </c>
      <c r="O22" s="32"/>
    </row>
    <row r="23" spans="1:15" ht="47.25" customHeight="1" x14ac:dyDescent="0.3">
      <c r="A23" s="27" t="s">
        <v>30</v>
      </c>
      <c r="B23" s="27" t="s">
        <v>29</v>
      </c>
      <c r="C23" s="30">
        <v>4.0972222222222222E-2</v>
      </c>
      <c r="D23" s="30">
        <v>1.388888888888889E-2</v>
      </c>
      <c r="E23" s="30">
        <v>9.0277777777777769E-3</v>
      </c>
      <c r="F23" s="33"/>
      <c r="G23" s="33"/>
      <c r="H23" s="33"/>
      <c r="I23" s="33"/>
      <c r="J23" s="33"/>
      <c r="K23" s="33"/>
      <c r="L23" s="33"/>
      <c r="M23" s="33"/>
      <c r="N23" s="33"/>
      <c r="O23" s="33">
        <f>AVERAGE(C23:N23)</f>
        <v>2.1296296296296296E-2</v>
      </c>
    </row>
    <row r="24" spans="1:15" ht="30" customHeight="1" x14ac:dyDescent="0.3">
      <c r="A24" s="27" t="s">
        <v>31</v>
      </c>
      <c r="B24" s="27" t="s">
        <v>32</v>
      </c>
      <c r="C24" s="30">
        <v>1.2084722222222219</v>
      </c>
      <c r="D24" s="30">
        <v>1.185416666666667</v>
      </c>
      <c r="E24" s="30">
        <v>0.95833333333333337</v>
      </c>
      <c r="F24" s="30"/>
      <c r="G24" s="30"/>
      <c r="H24" s="30"/>
      <c r="I24" s="30"/>
      <c r="J24" s="30"/>
      <c r="K24" s="30"/>
      <c r="L24" s="30"/>
      <c r="M24" s="30"/>
      <c r="N24" s="30"/>
      <c r="O24" s="30">
        <f>AVERAGE(C24:N24)</f>
        <v>1.1174074074074076</v>
      </c>
    </row>
    <row r="25" spans="1:15" ht="30" customHeight="1" x14ac:dyDescent="0.3">
      <c r="A25" s="27" t="s">
        <v>33</v>
      </c>
      <c r="B25" s="27" t="s">
        <v>34</v>
      </c>
      <c r="C25" s="30">
        <v>6.5972222222222224E-2</v>
      </c>
      <c r="D25" s="30">
        <v>8.611111111111111E-2</v>
      </c>
      <c r="E25" s="30">
        <v>0.1277777777777778</v>
      </c>
      <c r="F25" s="30"/>
      <c r="G25" s="30"/>
      <c r="H25" s="30"/>
      <c r="I25" s="30"/>
      <c r="J25" s="30"/>
      <c r="K25" s="30"/>
      <c r="L25" s="30"/>
      <c r="M25" s="30"/>
      <c r="N25" s="30"/>
      <c r="O25" s="30">
        <f>AVERAGE(C25:N25)</f>
        <v>9.3287037037037043E-2</v>
      </c>
    </row>
    <row r="26" spans="1:15" ht="28.8" customHeight="1" x14ac:dyDescent="0.3">
      <c r="A26" s="34" t="s">
        <v>35</v>
      </c>
      <c r="B26" s="27" t="s">
        <v>36</v>
      </c>
      <c r="C26" s="35">
        <v>64</v>
      </c>
      <c r="D26" s="35">
        <v>12</v>
      </c>
      <c r="E26" s="35">
        <v>23</v>
      </c>
      <c r="F26" s="35"/>
      <c r="G26" s="35"/>
      <c r="H26" s="35"/>
      <c r="I26" s="35"/>
      <c r="J26" s="35"/>
      <c r="K26" s="35"/>
      <c r="L26" s="35"/>
      <c r="M26" s="35"/>
      <c r="N26" s="35"/>
      <c r="O26" s="11">
        <f>SUM(C26:N26)</f>
        <v>99</v>
      </c>
    </row>
    <row r="27" spans="1:15" x14ac:dyDescent="0.3">
      <c r="A27" s="9" t="s">
        <v>37</v>
      </c>
      <c r="B27" s="27" t="s">
        <v>38</v>
      </c>
      <c r="C27" s="10">
        <v>1200</v>
      </c>
      <c r="D27" s="10">
        <v>1350</v>
      </c>
      <c r="E27" s="10">
        <v>100</v>
      </c>
      <c r="F27" s="10"/>
      <c r="G27" s="10"/>
      <c r="H27" s="10"/>
      <c r="I27" s="10"/>
      <c r="J27" s="10"/>
      <c r="K27" s="10"/>
      <c r="L27" s="10"/>
      <c r="M27" s="10"/>
      <c r="N27" s="10"/>
      <c r="O27" s="11">
        <f>SUM(C27:N27)</f>
        <v>2650</v>
      </c>
    </row>
    <row r="28" spans="1:15" x14ac:dyDescent="0.3">
      <c r="A28" s="8"/>
      <c r="B28" s="27" t="s">
        <v>39</v>
      </c>
      <c r="C28" s="10">
        <v>340</v>
      </c>
      <c r="D28" s="10">
        <v>845</v>
      </c>
      <c r="E28" s="10">
        <v>201</v>
      </c>
      <c r="F28" s="10"/>
      <c r="G28" s="10"/>
      <c r="H28" s="10"/>
      <c r="I28" s="10"/>
      <c r="J28" s="10"/>
      <c r="K28" s="10"/>
      <c r="L28" s="10"/>
      <c r="M28" s="10"/>
      <c r="N28" s="10"/>
      <c r="O28" s="11">
        <f>SUM(C28:N28)</f>
        <v>1386</v>
      </c>
    </row>
    <row r="29" spans="1:15" x14ac:dyDescent="0.3">
      <c r="A29" s="8"/>
      <c r="B29" s="27" t="s">
        <v>40</v>
      </c>
      <c r="C29" s="10">
        <v>152</v>
      </c>
      <c r="D29" s="10">
        <v>94</v>
      </c>
      <c r="E29" s="10">
        <v>90</v>
      </c>
      <c r="F29" s="10"/>
      <c r="G29" s="10"/>
      <c r="H29" s="10"/>
      <c r="I29" s="10"/>
      <c r="J29" s="10"/>
      <c r="K29" s="10"/>
      <c r="L29" s="10"/>
      <c r="M29" s="10"/>
      <c r="N29" s="10"/>
      <c r="O29" s="11">
        <f>SUM(C29:N29)</f>
        <v>336</v>
      </c>
    </row>
    <row r="30" spans="1:15" x14ac:dyDescent="0.3">
      <c r="A30" s="8"/>
      <c r="B30" s="27" t="s">
        <v>13</v>
      </c>
      <c r="C30" s="11">
        <f t="shared" ref="C30:N30" si="3">SUM(C27:C29)</f>
        <v>1692</v>
      </c>
      <c r="D30" s="11">
        <f t="shared" si="3"/>
        <v>2289</v>
      </c>
      <c r="E30" s="11">
        <f t="shared" si="3"/>
        <v>391</v>
      </c>
      <c r="F30" s="11">
        <f t="shared" si="3"/>
        <v>0</v>
      </c>
      <c r="G30" s="11">
        <f t="shared" si="3"/>
        <v>0</v>
      </c>
      <c r="H30" s="11">
        <f t="shared" si="3"/>
        <v>0</v>
      </c>
      <c r="I30" s="11">
        <f t="shared" si="3"/>
        <v>0</v>
      </c>
      <c r="J30" s="11">
        <f t="shared" si="3"/>
        <v>0</v>
      </c>
      <c r="K30" s="11">
        <f t="shared" si="3"/>
        <v>0</v>
      </c>
      <c r="L30" s="11">
        <f t="shared" si="3"/>
        <v>0</v>
      </c>
      <c r="M30" s="11">
        <f t="shared" si="3"/>
        <v>0</v>
      </c>
      <c r="N30" s="11">
        <f t="shared" si="3"/>
        <v>0</v>
      </c>
      <c r="O30" s="11">
        <f>SUM(C30:N30)</f>
        <v>4372</v>
      </c>
    </row>
    <row r="31" spans="1:15" x14ac:dyDescent="0.3">
      <c r="A31" s="9" t="s">
        <v>41</v>
      </c>
      <c r="B31" s="36" t="s">
        <v>42</v>
      </c>
      <c r="C31" s="35">
        <v>245</v>
      </c>
      <c r="D31" s="35">
        <v>2626</v>
      </c>
      <c r="E31" s="35">
        <v>312</v>
      </c>
      <c r="F31" s="35"/>
      <c r="G31" s="35"/>
      <c r="H31" s="35"/>
      <c r="I31" s="35"/>
      <c r="J31" s="35"/>
      <c r="K31" s="35"/>
      <c r="L31" s="35"/>
      <c r="M31" s="35"/>
      <c r="N31" s="35"/>
      <c r="O31" s="37">
        <f t="shared" ref="O31:O40" si="4">SUM(C31:N31)</f>
        <v>3183</v>
      </c>
    </row>
    <row r="32" spans="1:15" x14ac:dyDescent="0.3">
      <c r="A32" s="8"/>
      <c r="B32" s="36" t="s">
        <v>43</v>
      </c>
      <c r="C32" s="35">
        <v>84</v>
      </c>
      <c r="D32" s="35">
        <v>3434</v>
      </c>
      <c r="E32" s="35">
        <v>29</v>
      </c>
      <c r="F32" s="35"/>
      <c r="G32" s="35"/>
      <c r="H32" s="35"/>
      <c r="I32" s="35"/>
      <c r="J32" s="35"/>
      <c r="K32" s="35"/>
      <c r="L32" s="35"/>
      <c r="M32" s="35"/>
      <c r="N32" s="35"/>
      <c r="O32" s="37">
        <f t="shared" si="4"/>
        <v>3547</v>
      </c>
    </row>
    <row r="33" spans="1:15" x14ac:dyDescent="0.3">
      <c r="A33" s="8"/>
      <c r="B33" s="36" t="s">
        <v>44</v>
      </c>
      <c r="C33" s="35">
        <v>96</v>
      </c>
      <c r="D33" s="35">
        <v>4252</v>
      </c>
      <c r="E33" s="35">
        <v>31</v>
      </c>
      <c r="F33" s="35"/>
      <c r="G33" s="35"/>
      <c r="H33" s="35"/>
      <c r="I33" s="35"/>
      <c r="J33" s="35"/>
      <c r="K33" s="35"/>
      <c r="L33" s="35"/>
      <c r="M33" s="35"/>
      <c r="N33" s="35"/>
      <c r="O33" s="37">
        <f t="shared" si="4"/>
        <v>4379</v>
      </c>
    </row>
    <row r="34" spans="1:15" x14ac:dyDescent="0.3">
      <c r="A34" s="8"/>
      <c r="B34" s="36" t="s">
        <v>45</v>
      </c>
      <c r="C34" s="35">
        <v>1220</v>
      </c>
      <c r="D34" s="35">
        <v>102</v>
      </c>
      <c r="E34" s="35">
        <v>42</v>
      </c>
      <c r="F34" s="35"/>
      <c r="G34" s="35"/>
      <c r="H34" s="35"/>
      <c r="I34" s="35"/>
      <c r="J34" s="35"/>
      <c r="K34" s="35"/>
      <c r="L34" s="35"/>
      <c r="M34" s="35"/>
      <c r="N34" s="35"/>
      <c r="O34" s="37">
        <f t="shared" si="4"/>
        <v>1364</v>
      </c>
    </row>
    <row r="35" spans="1:15" x14ac:dyDescent="0.3">
      <c r="A35" s="8"/>
      <c r="B35" s="36" t="s">
        <v>46</v>
      </c>
      <c r="C35" s="35">
        <v>100</v>
      </c>
      <c r="D35" s="35">
        <v>999</v>
      </c>
      <c r="E35" s="35">
        <v>99</v>
      </c>
      <c r="F35" s="35"/>
      <c r="G35" s="35"/>
      <c r="H35" s="35"/>
      <c r="I35" s="35"/>
      <c r="J35" s="35"/>
      <c r="K35" s="35"/>
      <c r="L35" s="35"/>
      <c r="M35" s="35"/>
      <c r="N35" s="35"/>
      <c r="O35" s="37">
        <f t="shared" si="4"/>
        <v>1198</v>
      </c>
    </row>
    <row r="36" spans="1:15" x14ac:dyDescent="0.3">
      <c r="A36" s="8"/>
      <c r="B36" s="36" t="s">
        <v>47</v>
      </c>
      <c r="C36" s="35">
        <v>3000</v>
      </c>
      <c r="D36" s="35">
        <v>122</v>
      </c>
      <c r="E36" s="35">
        <v>4555</v>
      </c>
      <c r="F36" s="35"/>
      <c r="G36" s="35"/>
      <c r="H36" s="35"/>
      <c r="I36" s="35"/>
      <c r="J36" s="35"/>
      <c r="K36" s="35"/>
      <c r="L36" s="35"/>
      <c r="M36" s="35"/>
      <c r="N36" s="35"/>
      <c r="O36" s="37">
        <f t="shared" si="4"/>
        <v>7677</v>
      </c>
    </row>
    <row r="37" spans="1:15" x14ac:dyDescent="0.3">
      <c r="A37" s="8"/>
      <c r="B37" s="36" t="s">
        <v>48</v>
      </c>
      <c r="C37" s="35">
        <v>450</v>
      </c>
      <c r="D37" s="35">
        <v>354</v>
      </c>
      <c r="E37" s="35">
        <v>8444</v>
      </c>
      <c r="F37" s="35"/>
      <c r="G37" s="35"/>
      <c r="H37" s="35"/>
      <c r="I37" s="35"/>
      <c r="J37" s="35"/>
      <c r="K37" s="35"/>
      <c r="L37" s="35"/>
      <c r="M37" s="35"/>
      <c r="N37" s="35"/>
      <c r="O37" s="37">
        <f t="shared" si="4"/>
        <v>9248</v>
      </c>
    </row>
    <row r="38" spans="1:15" x14ac:dyDescent="0.3">
      <c r="A38" s="8"/>
      <c r="B38" s="36" t="s">
        <v>49</v>
      </c>
      <c r="C38" s="35">
        <v>99</v>
      </c>
      <c r="D38" s="35">
        <v>140</v>
      </c>
      <c r="E38" s="35">
        <v>2</v>
      </c>
      <c r="F38" s="35"/>
      <c r="G38" s="35"/>
      <c r="H38" s="35"/>
      <c r="I38" s="35"/>
      <c r="J38" s="35"/>
      <c r="K38" s="35"/>
      <c r="L38" s="35"/>
      <c r="M38" s="35"/>
      <c r="N38" s="35"/>
      <c r="O38" s="37">
        <f t="shared" si="4"/>
        <v>241</v>
      </c>
    </row>
    <row r="39" spans="1:15" x14ac:dyDescent="0.3">
      <c r="A39" s="8"/>
      <c r="B39" s="36" t="s">
        <v>50</v>
      </c>
      <c r="C39" s="35">
        <v>135</v>
      </c>
      <c r="D39" s="35">
        <v>92</v>
      </c>
      <c r="E39" s="35">
        <v>1</v>
      </c>
      <c r="F39" s="35"/>
      <c r="G39" s="35"/>
      <c r="H39" s="35"/>
      <c r="I39" s="35"/>
      <c r="J39" s="35"/>
      <c r="K39" s="35"/>
      <c r="L39" s="35"/>
      <c r="M39" s="35"/>
      <c r="N39" s="35"/>
      <c r="O39" s="37">
        <f t="shared" si="4"/>
        <v>228</v>
      </c>
    </row>
    <row r="40" spans="1:15" x14ac:dyDescent="0.3">
      <c r="A40" s="8"/>
      <c r="B40" s="36" t="s">
        <v>13</v>
      </c>
      <c r="C40" s="35">
        <f t="shared" ref="C40:N40" si="5">SUM(C31:C39)</f>
        <v>5429</v>
      </c>
      <c r="D40" s="35">
        <f t="shared" si="5"/>
        <v>12121</v>
      </c>
      <c r="E40" s="35">
        <f t="shared" si="5"/>
        <v>13515</v>
      </c>
      <c r="F40" s="35">
        <f t="shared" si="5"/>
        <v>0</v>
      </c>
      <c r="G40" s="35">
        <f t="shared" si="5"/>
        <v>0</v>
      </c>
      <c r="H40" s="35">
        <f t="shared" si="5"/>
        <v>0</v>
      </c>
      <c r="I40" s="35">
        <f t="shared" si="5"/>
        <v>0</v>
      </c>
      <c r="J40" s="35">
        <f t="shared" si="5"/>
        <v>0</v>
      </c>
      <c r="K40" s="35">
        <f t="shared" si="5"/>
        <v>0</v>
      </c>
      <c r="L40" s="35">
        <f t="shared" si="5"/>
        <v>0</v>
      </c>
      <c r="M40" s="35">
        <f t="shared" si="5"/>
        <v>0</v>
      </c>
      <c r="N40" s="35">
        <f t="shared" si="5"/>
        <v>0</v>
      </c>
      <c r="O40" s="37">
        <f t="shared" si="4"/>
        <v>31065</v>
      </c>
    </row>
    <row r="41" spans="1:15" ht="14.4" customHeight="1" x14ac:dyDescent="0.3">
      <c r="A41" s="9" t="s">
        <v>51</v>
      </c>
      <c r="B41" s="36" t="s">
        <v>52</v>
      </c>
      <c r="C41" s="10">
        <v>4550</v>
      </c>
      <c r="D41" s="10">
        <v>4500</v>
      </c>
      <c r="E41" s="10">
        <v>7240</v>
      </c>
      <c r="F41" s="10"/>
      <c r="G41" s="10"/>
      <c r="H41" s="10"/>
      <c r="I41" s="10"/>
      <c r="J41" s="10"/>
      <c r="K41" s="10"/>
      <c r="L41" s="10"/>
      <c r="M41" s="10"/>
      <c r="N41" s="10"/>
      <c r="O41" s="11">
        <f>SUM(C41:N41)</f>
        <v>16290</v>
      </c>
    </row>
    <row r="42" spans="1:15" x14ac:dyDescent="0.3">
      <c r="A42" s="8"/>
      <c r="B42" s="36" t="s">
        <v>53</v>
      </c>
      <c r="C42" s="10">
        <v>1250</v>
      </c>
      <c r="D42" s="10">
        <v>1235</v>
      </c>
      <c r="E42" s="10">
        <v>3330</v>
      </c>
      <c r="F42" s="10"/>
      <c r="G42" s="10"/>
      <c r="H42" s="10"/>
      <c r="I42" s="10"/>
      <c r="J42" s="10"/>
      <c r="K42" s="10"/>
      <c r="L42" s="10"/>
      <c r="M42" s="10"/>
      <c r="N42" s="10"/>
      <c r="O42" s="11">
        <f>SUM(C42:N42)</f>
        <v>5815</v>
      </c>
    </row>
    <row r="43" spans="1:15" x14ac:dyDescent="0.3">
      <c r="A43" s="8"/>
      <c r="B43" s="36" t="s">
        <v>13</v>
      </c>
      <c r="C43" s="11">
        <f t="shared" ref="C43:N43" si="6">SUM(C41:C42)</f>
        <v>5800</v>
      </c>
      <c r="D43" s="11">
        <f t="shared" si="6"/>
        <v>5735</v>
      </c>
      <c r="E43" s="11">
        <f t="shared" si="6"/>
        <v>10570</v>
      </c>
      <c r="F43" s="11">
        <f t="shared" si="6"/>
        <v>0</v>
      </c>
      <c r="G43" s="11">
        <f t="shared" si="6"/>
        <v>0</v>
      </c>
      <c r="H43" s="11">
        <f t="shared" si="6"/>
        <v>0</v>
      </c>
      <c r="I43" s="11">
        <f t="shared" si="6"/>
        <v>0</v>
      </c>
      <c r="J43" s="11">
        <f t="shared" si="6"/>
        <v>0</v>
      </c>
      <c r="K43" s="11">
        <f t="shared" si="6"/>
        <v>0</v>
      </c>
      <c r="L43" s="11">
        <f t="shared" si="6"/>
        <v>0</v>
      </c>
      <c r="M43" s="11">
        <f t="shared" si="6"/>
        <v>0</v>
      </c>
      <c r="N43" s="11">
        <f t="shared" si="6"/>
        <v>0</v>
      </c>
      <c r="O43" s="11">
        <f>SUM(C43:N43)</f>
        <v>22105</v>
      </c>
    </row>
    <row r="44" spans="1:15" x14ac:dyDescent="0.3">
      <c r="A44" s="27" t="s">
        <v>54</v>
      </c>
      <c r="B44" s="36" t="s">
        <v>13</v>
      </c>
      <c r="C44" s="37">
        <v>10</v>
      </c>
      <c r="D44" s="37">
        <v>12</v>
      </c>
      <c r="E44" s="37">
        <v>9</v>
      </c>
      <c r="F44" s="37">
        <v>5</v>
      </c>
      <c r="G44" s="37"/>
      <c r="H44" s="37"/>
      <c r="I44" s="37"/>
      <c r="J44" s="37"/>
      <c r="K44" s="37"/>
      <c r="L44" s="37"/>
      <c r="M44" s="37"/>
      <c r="N44" s="37"/>
      <c r="O44" s="11">
        <f>SUM(C44:N44)</f>
        <v>36</v>
      </c>
    </row>
    <row r="45" spans="1:15" ht="10.95" customHeight="1" x14ac:dyDescent="0.3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</row>
    <row r="46" spans="1:15" ht="139.5" customHeight="1" x14ac:dyDescent="0.3">
      <c r="A46" s="40"/>
      <c r="B46" s="40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</row>
    <row r="47" spans="1:15" x14ac:dyDescent="0.3">
      <c r="A47" s="5" t="s">
        <v>55</v>
      </c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3">
      <c r="A48" s="7" t="s">
        <v>56</v>
      </c>
      <c r="B48" s="8"/>
      <c r="C48" s="6" t="s">
        <v>1</v>
      </c>
      <c r="D48" s="6" t="s">
        <v>2</v>
      </c>
      <c r="E48" s="6" t="s">
        <v>3</v>
      </c>
      <c r="F48" s="6" t="s">
        <v>4</v>
      </c>
      <c r="G48" s="6" t="s">
        <v>5</v>
      </c>
      <c r="H48" s="6" t="s">
        <v>6</v>
      </c>
      <c r="I48" s="6" t="s">
        <v>7</v>
      </c>
      <c r="J48" s="6" t="s">
        <v>8</v>
      </c>
      <c r="K48" s="6" t="s">
        <v>9</v>
      </c>
      <c r="L48" s="6" t="s">
        <v>10</v>
      </c>
      <c r="M48" s="6" t="s">
        <v>11</v>
      </c>
      <c r="N48" s="6" t="s">
        <v>12</v>
      </c>
      <c r="O48" s="6" t="s">
        <v>13</v>
      </c>
    </row>
    <row r="49" spans="1:17" x14ac:dyDescent="0.3">
      <c r="A49" s="9" t="s">
        <v>14</v>
      </c>
      <c r="B49" s="41"/>
      <c r="C49" s="10">
        <v>8880</v>
      </c>
      <c r="D49" s="10">
        <v>12340</v>
      </c>
      <c r="E49" s="10">
        <v>5400</v>
      </c>
      <c r="F49" s="10"/>
      <c r="G49" s="10"/>
      <c r="H49" s="10"/>
      <c r="I49" s="10"/>
      <c r="J49" s="10"/>
      <c r="K49" s="10"/>
      <c r="L49" s="10"/>
      <c r="M49" s="10"/>
      <c r="N49" s="10"/>
      <c r="O49" s="11">
        <f>SUM(C49:N49)</f>
        <v>26620</v>
      </c>
    </row>
    <row r="50" spans="1:17" x14ac:dyDescent="0.3">
      <c r="A50" s="12" t="s">
        <v>15</v>
      </c>
      <c r="B50" s="13"/>
      <c r="C50" s="10">
        <f>C49/31</f>
        <v>286.45161290322579</v>
      </c>
      <c r="D50" s="10">
        <f>D49/30</f>
        <v>411.33333333333331</v>
      </c>
      <c r="E50" s="10">
        <f>E49/31</f>
        <v>174.19354838709677</v>
      </c>
      <c r="F50" s="10">
        <f>F49/30</f>
        <v>0</v>
      </c>
      <c r="G50" s="10">
        <f>G49/31</f>
        <v>0</v>
      </c>
      <c r="H50" s="10">
        <f>H49/31</f>
        <v>0</v>
      </c>
      <c r="I50" s="10">
        <f>I49/30</f>
        <v>0</v>
      </c>
      <c r="J50" s="10">
        <f>J49/31</f>
        <v>0</v>
      </c>
      <c r="K50" s="10">
        <f>K49/30</f>
        <v>0</v>
      </c>
      <c r="L50" s="10">
        <f>L49/31</f>
        <v>0</v>
      </c>
      <c r="M50" s="10">
        <f>M49/31</f>
        <v>0</v>
      </c>
      <c r="N50" s="10">
        <f>N49/28</f>
        <v>0</v>
      </c>
      <c r="O50" s="11">
        <f>AVERAGE(C50:N50)</f>
        <v>72.664874551971323</v>
      </c>
    </row>
    <row r="51" spans="1:17" x14ac:dyDescent="0.3">
      <c r="A51" s="9" t="s">
        <v>16</v>
      </c>
      <c r="B51" s="41"/>
      <c r="C51" s="10">
        <v>12000</v>
      </c>
      <c r="D51" s="10">
        <v>9400</v>
      </c>
      <c r="E51" s="10">
        <v>10500</v>
      </c>
      <c r="F51" s="10">
        <v>12800</v>
      </c>
      <c r="G51" s="10"/>
      <c r="H51" s="10"/>
      <c r="I51" s="10"/>
      <c r="J51" s="10"/>
      <c r="K51" s="10"/>
      <c r="L51" s="10"/>
      <c r="M51" s="10"/>
      <c r="N51" s="10"/>
      <c r="O51" s="11">
        <f>SUM(C51:N51)</f>
        <v>44700</v>
      </c>
    </row>
    <row r="52" spans="1:17" s="18" customFormat="1" x14ac:dyDescent="0.3">
      <c r="A52" s="9" t="s">
        <v>17</v>
      </c>
      <c r="B52" s="42"/>
      <c r="C52" s="10">
        <v>8000</v>
      </c>
      <c r="D52" s="10">
        <v>8000</v>
      </c>
      <c r="E52" s="10">
        <v>8000</v>
      </c>
      <c r="F52" s="10">
        <v>8000</v>
      </c>
      <c r="G52" s="10">
        <v>8000</v>
      </c>
      <c r="H52" s="10">
        <v>8000</v>
      </c>
      <c r="I52" s="10">
        <v>8000</v>
      </c>
      <c r="J52" s="10">
        <v>8000</v>
      </c>
      <c r="K52" s="10">
        <v>8000</v>
      </c>
      <c r="L52" s="10">
        <v>8000</v>
      </c>
      <c r="M52" s="10">
        <v>8000</v>
      </c>
      <c r="N52" s="10">
        <v>8000</v>
      </c>
      <c r="O52" s="11">
        <f>SUM(C52:N52)</f>
        <v>96000</v>
      </c>
      <c r="Q52" s="19"/>
    </row>
    <row r="53" spans="1:17" x14ac:dyDescent="0.3">
      <c r="A53" s="9" t="s">
        <v>18</v>
      </c>
      <c r="B53" s="27" t="s">
        <v>19</v>
      </c>
      <c r="C53" s="10">
        <v>300</v>
      </c>
      <c r="D53" s="10">
        <v>34</v>
      </c>
      <c r="E53" s="10">
        <v>150</v>
      </c>
      <c r="F53" s="10"/>
      <c r="G53" s="10"/>
      <c r="H53" s="10"/>
      <c r="I53" s="10"/>
      <c r="J53" s="10"/>
      <c r="K53" s="10"/>
      <c r="L53" s="10"/>
      <c r="M53" s="10"/>
      <c r="N53" s="10"/>
      <c r="O53" s="11">
        <f t="shared" ref="O53:O59" si="7">SUM(C53:N53)</f>
        <v>484</v>
      </c>
    </row>
    <row r="54" spans="1:17" x14ac:dyDescent="0.3">
      <c r="A54" s="41"/>
      <c r="B54" s="27" t="s">
        <v>20</v>
      </c>
      <c r="C54" s="10">
        <v>96</v>
      </c>
      <c r="D54" s="10">
        <v>1240</v>
      </c>
      <c r="E54" s="10">
        <v>7580</v>
      </c>
      <c r="F54" s="10"/>
      <c r="G54" s="10"/>
      <c r="H54" s="10"/>
      <c r="I54" s="10"/>
      <c r="J54" s="10"/>
      <c r="K54" s="10"/>
      <c r="L54" s="10"/>
      <c r="M54" s="10"/>
      <c r="N54" s="10"/>
      <c r="O54" s="11">
        <f t="shared" si="7"/>
        <v>8916</v>
      </c>
    </row>
    <row r="55" spans="1:17" x14ac:dyDescent="0.3">
      <c r="A55" s="41"/>
      <c r="B55" s="27" t="s">
        <v>21</v>
      </c>
      <c r="C55" s="10">
        <v>84</v>
      </c>
      <c r="D55" s="10">
        <v>1000</v>
      </c>
      <c r="E55" s="10">
        <v>3400</v>
      </c>
      <c r="F55" s="10"/>
      <c r="G55" s="10"/>
      <c r="H55" s="10"/>
      <c r="I55" s="10"/>
      <c r="J55" s="10"/>
      <c r="K55" s="10"/>
      <c r="L55" s="10"/>
      <c r="M55" s="10"/>
      <c r="N55" s="10"/>
      <c r="O55" s="11">
        <f t="shared" si="7"/>
        <v>4484</v>
      </c>
    </row>
    <row r="56" spans="1:17" x14ac:dyDescent="0.3">
      <c r="A56" s="41"/>
      <c r="B56" s="27" t="s">
        <v>22</v>
      </c>
      <c r="C56" s="10">
        <v>16</v>
      </c>
      <c r="D56" s="10">
        <v>800</v>
      </c>
      <c r="E56" s="10">
        <v>200</v>
      </c>
      <c r="F56" s="10"/>
      <c r="G56" s="10"/>
      <c r="H56" s="10"/>
      <c r="I56" s="10"/>
      <c r="J56" s="10"/>
      <c r="K56" s="10"/>
      <c r="L56" s="10"/>
      <c r="M56" s="10"/>
      <c r="N56" s="10"/>
      <c r="O56" s="11">
        <f t="shared" si="7"/>
        <v>1016</v>
      </c>
    </row>
    <row r="57" spans="1:17" x14ac:dyDescent="0.3">
      <c r="A57" s="41"/>
      <c r="B57" s="27" t="s">
        <v>23</v>
      </c>
      <c r="C57" s="10">
        <v>25</v>
      </c>
      <c r="D57" s="10">
        <v>59</v>
      </c>
      <c r="E57" s="10">
        <v>94</v>
      </c>
      <c r="F57" s="10"/>
      <c r="G57" s="10"/>
      <c r="H57" s="10"/>
      <c r="I57" s="10"/>
      <c r="J57" s="10"/>
      <c r="K57" s="10"/>
      <c r="L57" s="10"/>
      <c r="M57" s="10"/>
      <c r="N57" s="10"/>
      <c r="O57" s="11">
        <f t="shared" si="7"/>
        <v>178</v>
      </c>
    </row>
    <row r="58" spans="1:17" x14ac:dyDescent="0.3">
      <c r="A58" s="41"/>
      <c r="B58" s="27" t="s">
        <v>24</v>
      </c>
      <c r="C58" s="10">
        <v>31</v>
      </c>
      <c r="D58" s="10">
        <v>21</v>
      </c>
      <c r="E58" s="10">
        <v>23</v>
      </c>
      <c r="F58" s="10"/>
      <c r="G58" s="10"/>
      <c r="H58" s="10"/>
      <c r="I58" s="10"/>
      <c r="J58" s="10"/>
      <c r="K58" s="10"/>
      <c r="L58" s="10"/>
      <c r="M58" s="10"/>
      <c r="N58" s="10"/>
      <c r="O58" s="11">
        <f t="shared" si="7"/>
        <v>75</v>
      </c>
    </row>
    <row r="59" spans="1:17" x14ac:dyDescent="0.3">
      <c r="A59" s="41"/>
      <c r="B59" s="27" t="s">
        <v>25</v>
      </c>
      <c r="C59" s="11">
        <f t="shared" ref="C59:N59" si="8">SUM(C53:C58)</f>
        <v>552</v>
      </c>
      <c r="D59" s="11">
        <f t="shared" si="8"/>
        <v>3154</v>
      </c>
      <c r="E59" s="11">
        <f t="shared" si="8"/>
        <v>11447</v>
      </c>
      <c r="F59" s="11">
        <f t="shared" si="8"/>
        <v>0</v>
      </c>
      <c r="G59" s="11">
        <f t="shared" si="8"/>
        <v>0</v>
      </c>
      <c r="H59" s="11">
        <f t="shared" si="8"/>
        <v>0</v>
      </c>
      <c r="I59" s="11">
        <f t="shared" si="8"/>
        <v>0</v>
      </c>
      <c r="J59" s="11">
        <f t="shared" si="8"/>
        <v>0</v>
      </c>
      <c r="K59" s="11">
        <f t="shared" si="8"/>
        <v>0</v>
      </c>
      <c r="L59" s="11">
        <f t="shared" si="8"/>
        <v>0</v>
      </c>
      <c r="M59" s="11">
        <f t="shared" si="8"/>
        <v>0</v>
      </c>
      <c r="N59" s="11">
        <f t="shared" si="8"/>
        <v>0</v>
      </c>
      <c r="O59" s="11">
        <f t="shared" si="7"/>
        <v>15153</v>
      </c>
    </row>
    <row r="60" spans="1:17" ht="14.4" customHeight="1" x14ac:dyDescent="0.3">
      <c r="A60" s="9" t="s">
        <v>26</v>
      </c>
      <c r="B60" s="27" t="s">
        <v>19</v>
      </c>
      <c r="C60" s="28">
        <f>C53/C59</f>
        <v>0.54347826086956519</v>
      </c>
      <c r="D60" s="28">
        <f>D53/D59</f>
        <v>1.077996195307546E-2</v>
      </c>
      <c r="E60" s="28">
        <f>E53/E59</f>
        <v>1.3103870009609504E-2</v>
      </c>
      <c r="F60" s="28" t="e">
        <f>F53/F59</f>
        <v>#DIV/0!</v>
      </c>
      <c r="G60" s="28" t="e">
        <f>G53/G59</f>
        <v>#DIV/0!</v>
      </c>
      <c r="H60" s="28" t="e">
        <f>H53/H59</f>
        <v>#DIV/0!</v>
      </c>
      <c r="I60" s="28" t="e">
        <f>I53/I59</f>
        <v>#DIV/0!</v>
      </c>
      <c r="J60" s="28" t="e">
        <f>J53/J59</f>
        <v>#DIV/0!</v>
      </c>
      <c r="K60" s="28" t="e">
        <f>K53/K59</f>
        <v>#DIV/0!</v>
      </c>
      <c r="L60" s="28" t="e">
        <f>L53/L59</f>
        <v>#DIV/0!</v>
      </c>
      <c r="M60" s="28" t="e">
        <f>M53/M59</f>
        <v>#DIV/0!</v>
      </c>
      <c r="N60" s="28" t="e">
        <f>N53/N59</f>
        <v>#DIV/0!</v>
      </c>
      <c r="O60" s="29" t="e">
        <f t="shared" ref="O60:O65" si="9">AVERAGE(C60:N60)</f>
        <v>#DIV/0!</v>
      </c>
    </row>
    <row r="61" spans="1:17" x14ac:dyDescent="0.3">
      <c r="A61" s="41"/>
      <c r="B61" s="27" t="s">
        <v>20</v>
      </c>
      <c r="C61" s="28">
        <f>C54/C59</f>
        <v>0.17391304347826086</v>
      </c>
      <c r="D61" s="28">
        <f>D54/D59</f>
        <v>0.39315155358275206</v>
      </c>
      <c r="E61" s="28">
        <f>E54/E59</f>
        <v>0.66218223115226693</v>
      </c>
      <c r="F61" s="28" t="e">
        <f>F54/F59</f>
        <v>#DIV/0!</v>
      </c>
      <c r="G61" s="28" t="e">
        <f>G54/G59</f>
        <v>#DIV/0!</v>
      </c>
      <c r="H61" s="28" t="e">
        <f>H54/H59</f>
        <v>#DIV/0!</v>
      </c>
      <c r="I61" s="28" t="e">
        <f>I54/I59</f>
        <v>#DIV/0!</v>
      </c>
      <c r="J61" s="28" t="e">
        <f>J54/J59</f>
        <v>#DIV/0!</v>
      </c>
      <c r="K61" s="28" t="e">
        <f>K54/K59</f>
        <v>#DIV/0!</v>
      </c>
      <c r="L61" s="28" t="e">
        <f>L54/L59</f>
        <v>#DIV/0!</v>
      </c>
      <c r="M61" s="28" t="e">
        <f>M54/M59</f>
        <v>#DIV/0!</v>
      </c>
      <c r="N61" s="28" t="e">
        <f>N54/N59</f>
        <v>#DIV/0!</v>
      </c>
      <c r="O61" s="29" t="e">
        <f t="shared" si="9"/>
        <v>#DIV/0!</v>
      </c>
    </row>
    <row r="62" spans="1:17" x14ac:dyDescent="0.3">
      <c r="A62" s="41"/>
      <c r="B62" s="27" t="s">
        <v>21</v>
      </c>
      <c r="C62" s="28">
        <f>C55/C59</f>
        <v>0.15217391304347827</v>
      </c>
      <c r="D62" s="28">
        <f>D55/D59</f>
        <v>0.31705770450221943</v>
      </c>
      <c r="E62" s="28">
        <f>E55/E59</f>
        <v>0.29702105355114877</v>
      </c>
      <c r="F62" s="28" t="e">
        <f>F55/F59</f>
        <v>#DIV/0!</v>
      </c>
      <c r="G62" s="28" t="e">
        <f>G55/G59</f>
        <v>#DIV/0!</v>
      </c>
      <c r="H62" s="28" t="e">
        <f>H55/H59</f>
        <v>#DIV/0!</v>
      </c>
      <c r="I62" s="28" t="e">
        <f>I55/I59</f>
        <v>#DIV/0!</v>
      </c>
      <c r="J62" s="28" t="e">
        <f>J55/J59</f>
        <v>#DIV/0!</v>
      </c>
      <c r="K62" s="28" t="e">
        <f>K55/K59</f>
        <v>#DIV/0!</v>
      </c>
      <c r="L62" s="28" t="e">
        <f>L55/L59</f>
        <v>#DIV/0!</v>
      </c>
      <c r="M62" s="28" t="e">
        <f>M55/M59</f>
        <v>#DIV/0!</v>
      </c>
      <c r="N62" s="28" t="e">
        <f>N55/N59</f>
        <v>#DIV/0!</v>
      </c>
      <c r="O62" s="29" t="e">
        <f t="shared" si="9"/>
        <v>#DIV/0!</v>
      </c>
    </row>
    <row r="63" spans="1:17" x14ac:dyDescent="0.3">
      <c r="A63" s="41"/>
      <c r="B63" s="27" t="s">
        <v>22</v>
      </c>
      <c r="C63" s="28">
        <f>C56/C59</f>
        <v>2.8985507246376812E-2</v>
      </c>
      <c r="D63" s="28">
        <f>D56/D59</f>
        <v>0.2536461636017755</v>
      </c>
      <c r="E63" s="28">
        <f>E56/E59</f>
        <v>1.747182667947934E-2</v>
      </c>
      <c r="F63" s="28" t="e">
        <f>F56/F59</f>
        <v>#DIV/0!</v>
      </c>
      <c r="G63" s="28" t="e">
        <f>G56/G59</f>
        <v>#DIV/0!</v>
      </c>
      <c r="H63" s="28" t="e">
        <f>H56/H59</f>
        <v>#DIV/0!</v>
      </c>
      <c r="I63" s="28" t="e">
        <f>I56/I59</f>
        <v>#DIV/0!</v>
      </c>
      <c r="J63" s="28" t="e">
        <f>J56/J59</f>
        <v>#DIV/0!</v>
      </c>
      <c r="K63" s="28" t="e">
        <f>K56/K59</f>
        <v>#DIV/0!</v>
      </c>
      <c r="L63" s="28" t="e">
        <f>L56/L59</f>
        <v>#DIV/0!</v>
      </c>
      <c r="M63" s="28" t="e">
        <f>M56/M59</f>
        <v>#DIV/0!</v>
      </c>
      <c r="N63" s="28" t="e">
        <f>N56/N59</f>
        <v>#DIV/0!</v>
      </c>
      <c r="O63" s="29" t="e">
        <f t="shared" si="9"/>
        <v>#DIV/0!</v>
      </c>
    </row>
    <row r="64" spans="1:17" x14ac:dyDescent="0.3">
      <c r="A64" s="41"/>
      <c r="B64" s="27" t="s">
        <v>23</v>
      </c>
      <c r="C64" s="28">
        <f>C57/C59</f>
        <v>4.5289855072463768E-2</v>
      </c>
      <c r="D64" s="28">
        <f>D57/D59</f>
        <v>1.8706404565630944E-2</v>
      </c>
      <c r="E64" s="28">
        <f>E57/E59</f>
        <v>8.2117585393552892E-3</v>
      </c>
      <c r="F64" s="28" t="e">
        <f>F57/F59</f>
        <v>#DIV/0!</v>
      </c>
      <c r="G64" s="28" t="e">
        <f>G57/G59</f>
        <v>#DIV/0!</v>
      </c>
      <c r="H64" s="28" t="e">
        <f>H57/H59</f>
        <v>#DIV/0!</v>
      </c>
      <c r="I64" s="28" t="e">
        <f>I57/I59</f>
        <v>#DIV/0!</v>
      </c>
      <c r="J64" s="28" t="e">
        <f>J57/J59</f>
        <v>#DIV/0!</v>
      </c>
      <c r="K64" s="28" t="e">
        <f>K57/K59</f>
        <v>#DIV/0!</v>
      </c>
      <c r="L64" s="28" t="e">
        <f>L57/L59</f>
        <v>#DIV/0!</v>
      </c>
      <c r="M64" s="28" t="e">
        <f>M57/M59</f>
        <v>#DIV/0!</v>
      </c>
      <c r="N64" s="28" t="e">
        <f>N57/N59</f>
        <v>#DIV/0!</v>
      </c>
      <c r="O64" s="29" t="e">
        <f t="shared" si="9"/>
        <v>#DIV/0!</v>
      </c>
    </row>
    <row r="65" spans="1:15" x14ac:dyDescent="0.3">
      <c r="A65" s="41"/>
      <c r="B65" s="27" t="s">
        <v>27</v>
      </c>
      <c r="C65" s="28">
        <f>C58/C59</f>
        <v>5.6159420289855072E-2</v>
      </c>
      <c r="D65" s="28">
        <f>D58/D59</f>
        <v>6.6582117945466071E-3</v>
      </c>
      <c r="E65" s="28">
        <f>E58/E59</f>
        <v>2.0092600681401239E-3</v>
      </c>
      <c r="F65" s="28" t="e">
        <f>F58/F59</f>
        <v>#DIV/0!</v>
      </c>
      <c r="G65" s="28" t="e">
        <f>G58/G59</f>
        <v>#DIV/0!</v>
      </c>
      <c r="H65" s="28" t="e">
        <f>H58/H59</f>
        <v>#DIV/0!</v>
      </c>
      <c r="I65" s="28" t="e">
        <f>I58/I59</f>
        <v>#DIV/0!</v>
      </c>
      <c r="J65" s="28" t="e">
        <f>J58/J59</f>
        <v>#DIV/0!</v>
      </c>
      <c r="K65" s="28" t="e">
        <f>K58/K59</f>
        <v>#DIV/0!</v>
      </c>
      <c r="L65" s="28" t="e">
        <f>L58/L59</f>
        <v>#DIV/0!</v>
      </c>
      <c r="M65" s="28" t="e">
        <f>M58/M59</f>
        <v>#DIV/0!</v>
      </c>
      <c r="N65" s="28" t="e">
        <f>N58/N59</f>
        <v>#DIV/0!</v>
      </c>
      <c r="O65" s="29" t="e">
        <f t="shared" si="9"/>
        <v>#DIV/0!</v>
      </c>
    </row>
    <row r="66" spans="1:15" ht="39" customHeight="1" x14ac:dyDescent="0.3">
      <c r="A66" s="27" t="s">
        <v>28</v>
      </c>
      <c r="B66" s="27" t="s">
        <v>29</v>
      </c>
      <c r="C66" s="30">
        <v>6.2500000000000003E-3</v>
      </c>
      <c r="D66" s="30">
        <v>8.3333333333333332E-3</v>
      </c>
      <c r="E66" s="30">
        <v>7.6388888888888886E-3</v>
      </c>
      <c r="F66" s="30"/>
      <c r="G66" s="30"/>
      <c r="H66" s="30"/>
      <c r="I66" s="30"/>
      <c r="J66" s="30"/>
      <c r="K66" s="30"/>
      <c r="L66" s="30"/>
      <c r="M66" s="30"/>
      <c r="N66" s="30"/>
      <c r="O66" s="30">
        <f>AVERAGE(C66:N66)</f>
        <v>7.4074074074074077E-3</v>
      </c>
    </row>
    <row r="67" spans="1:15" s="18" customFormat="1" ht="13.5" customHeight="1" x14ac:dyDescent="0.3">
      <c r="A67" s="27" t="s">
        <v>17</v>
      </c>
      <c r="B67" s="27"/>
      <c r="C67" s="43">
        <v>6.9444444444444441E-3</v>
      </c>
      <c r="D67" s="43">
        <v>6.9444444444444441E-3</v>
      </c>
      <c r="E67" s="43">
        <v>6.9444444444444441E-3</v>
      </c>
      <c r="F67" s="43">
        <v>6.9444444444444441E-3</v>
      </c>
      <c r="G67" s="43">
        <v>6.9444444444444441E-3</v>
      </c>
      <c r="H67" s="43">
        <v>6.9444444444444441E-3</v>
      </c>
      <c r="I67" s="43">
        <v>6.9444444444444441E-3</v>
      </c>
      <c r="J67" s="43">
        <v>6.9444444444444441E-3</v>
      </c>
      <c r="K67" s="43">
        <v>6.9444444444444441E-3</v>
      </c>
      <c r="L67" s="43">
        <v>6.9444444444444441E-3</v>
      </c>
      <c r="M67" s="43">
        <v>6.9444444444444441E-3</v>
      </c>
      <c r="N67" s="43">
        <v>6.9444444444444441E-3</v>
      </c>
      <c r="O67" s="37"/>
    </row>
    <row r="68" spans="1:15" ht="47.25" customHeight="1" x14ac:dyDescent="0.3">
      <c r="A68" s="27" t="s">
        <v>30</v>
      </c>
      <c r="B68" s="27" t="s">
        <v>29</v>
      </c>
      <c r="C68" s="30">
        <v>4.0972222222222222E-2</v>
      </c>
      <c r="D68" s="30">
        <v>1.388888888888889E-2</v>
      </c>
      <c r="E68" s="30">
        <v>9.0277777777777769E-3</v>
      </c>
      <c r="F68" s="33"/>
      <c r="G68" s="33"/>
      <c r="H68" s="33"/>
      <c r="I68" s="33"/>
      <c r="J68" s="33"/>
      <c r="K68" s="33"/>
      <c r="L68" s="33"/>
      <c r="M68" s="33"/>
      <c r="N68" s="33"/>
      <c r="O68" s="33">
        <f>AVERAGE(C68:N68)</f>
        <v>2.1296296296296296E-2</v>
      </c>
    </row>
    <row r="69" spans="1:15" ht="30" customHeight="1" x14ac:dyDescent="0.3">
      <c r="A69" s="27" t="s">
        <v>31</v>
      </c>
      <c r="B69" s="27" t="s">
        <v>32</v>
      </c>
      <c r="C69" s="30">
        <v>1.2084722222222219</v>
      </c>
      <c r="D69" s="30">
        <v>1.185416666666667</v>
      </c>
      <c r="E69" s="30">
        <v>0.95833333333333337</v>
      </c>
      <c r="F69" s="30"/>
      <c r="G69" s="30"/>
      <c r="H69" s="30"/>
      <c r="I69" s="30"/>
      <c r="J69" s="30"/>
      <c r="K69" s="30"/>
      <c r="L69" s="30"/>
      <c r="M69" s="30"/>
      <c r="N69" s="30"/>
      <c r="O69" s="30">
        <f>AVERAGE(C69:N69)</f>
        <v>1.1174074074074076</v>
      </c>
    </row>
    <row r="70" spans="1:15" ht="30" customHeight="1" x14ac:dyDescent="0.3">
      <c r="A70" s="27" t="s">
        <v>33</v>
      </c>
      <c r="B70" s="27" t="s">
        <v>34</v>
      </c>
      <c r="C70" s="30">
        <v>6.5972222222222224E-2</v>
      </c>
      <c r="D70" s="30">
        <v>8.611111111111111E-2</v>
      </c>
      <c r="E70" s="30">
        <v>0.1277777777777778</v>
      </c>
      <c r="F70" s="30"/>
      <c r="G70" s="30"/>
      <c r="H70" s="30"/>
      <c r="I70" s="30"/>
      <c r="J70" s="30"/>
      <c r="K70" s="30"/>
      <c r="L70" s="30"/>
      <c r="M70" s="30"/>
      <c r="N70" s="30"/>
      <c r="O70" s="30">
        <f>AVERAGE(C70:N70)</f>
        <v>9.3287037037037043E-2</v>
      </c>
    </row>
    <row r="71" spans="1:15" ht="28.8" customHeight="1" x14ac:dyDescent="0.3">
      <c r="A71" s="34" t="s">
        <v>35</v>
      </c>
      <c r="B71" s="27" t="s">
        <v>36</v>
      </c>
      <c r="C71" s="35">
        <v>64</v>
      </c>
      <c r="D71" s="35">
        <v>12</v>
      </c>
      <c r="E71" s="35">
        <v>23</v>
      </c>
      <c r="F71" s="35"/>
      <c r="G71" s="35"/>
      <c r="H71" s="35"/>
      <c r="I71" s="35"/>
      <c r="J71" s="35"/>
      <c r="K71" s="35"/>
      <c r="L71" s="35"/>
      <c r="M71" s="35"/>
      <c r="N71" s="35"/>
      <c r="O71" s="11">
        <f>SUM(C71:N71)</f>
        <v>99</v>
      </c>
    </row>
    <row r="72" spans="1:15" x14ac:dyDescent="0.3">
      <c r="A72" s="44" t="s">
        <v>37</v>
      </c>
      <c r="B72" s="27" t="s">
        <v>38</v>
      </c>
      <c r="C72" s="10">
        <v>1200</v>
      </c>
      <c r="D72" s="10">
        <v>1350</v>
      </c>
      <c r="E72" s="10">
        <v>100</v>
      </c>
      <c r="F72" s="10"/>
      <c r="G72" s="10"/>
      <c r="H72" s="10"/>
      <c r="I72" s="10"/>
      <c r="J72" s="10"/>
      <c r="K72" s="10"/>
      <c r="L72" s="10"/>
      <c r="M72" s="10"/>
      <c r="N72" s="10"/>
      <c r="O72" s="11">
        <f>SUM(C72:N72)</f>
        <v>2650</v>
      </c>
    </row>
    <row r="73" spans="1:15" x14ac:dyDescent="0.3">
      <c r="A73" s="41"/>
      <c r="B73" s="27" t="s">
        <v>39</v>
      </c>
      <c r="C73" s="10">
        <v>340</v>
      </c>
      <c r="D73" s="10">
        <v>845</v>
      </c>
      <c r="E73" s="10">
        <v>201</v>
      </c>
      <c r="F73" s="10"/>
      <c r="G73" s="10"/>
      <c r="H73" s="10"/>
      <c r="I73" s="10"/>
      <c r="J73" s="10"/>
      <c r="K73" s="10"/>
      <c r="L73" s="10"/>
      <c r="M73" s="10"/>
      <c r="N73" s="10"/>
      <c r="O73" s="11">
        <f>SUM(C73:N73)</f>
        <v>1386</v>
      </c>
    </row>
    <row r="74" spans="1:15" x14ac:dyDescent="0.3">
      <c r="A74" s="41"/>
      <c r="B74" s="27" t="s">
        <v>40</v>
      </c>
      <c r="C74" s="10">
        <v>152</v>
      </c>
      <c r="D74" s="10">
        <v>94</v>
      </c>
      <c r="E74" s="10">
        <v>90</v>
      </c>
      <c r="F74" s="10"/>
      <c r="G74" s="10"/>
      <c r="H74" s="10"/>
      <c r="I74" s="10"/>
      <c r="J74" s="10"/>
      <c r="K74" s="10"/>
      <c r="L74" s="10"/>
      <c r="M74" s="10"/>
      <c r="N74" s="10"/>
      <c r="O74" s="11">
        <f>SUM(C74:N74)</f>
        <v>336</v>
      </c>
    </row>
    <row r="75" spans="1:15" x14ac:dyDescent="0.3">
      <c r="A75" s="34"/>
      <c r="B75" s="27" t="s">
        <v>13</v>
      </c>
      <c r="C75" s="11">
        <f t="shared" ref="C75:N75" si="10">SUM(C72:C74)</f>
        <v>1692</v>
      </c>
      <c r="D75" s="11">
        <f t="shared" si="10"/>
        <v>2289</v>
      </c>
      <c r="E75" s="11">
        <f t="shared" si="10"/>
        <v>391</v>
      </c>
      <c r="F75" s="11">
        <f t="shared" si="10"/>
        <v>0</v>
      </c>
      <c r="G75" s="11">
        <f t="shared" si="10"/>
        <v>0</v>
      </c>
      <c r="H75" s="11">
        <f t="shared" si="10"/>
        <v>0</v>
      </c>
      <c r="I75" s="11">
        <f t="shared" si="10"/>
        <v>0</v>
      </c>
      <c r="J75" s="11">
        <f t="shared" si="10"/>
        <v>0</v>
      </c>
      <c r="K75" s="11">
        <f t="shared" si="10"/>
        <v>0</v>
      </c>
      <c r="L75" s="11">
        <f t="shared" si="10"/>
        <v>0</v>
      </c>
      <c r="M75" s="11">
        <f t="shared" si="10"/>
        <v>0</v>
      </c>
      <c r="N75" s="11">
        <f t="shared" si="10"/>
        <v>0</v>
      </c>
      <c r="O75" s="11">
        <f>SUM(C75:N75)</f>
        <v>4372</v>
      </c>
    </row>
    <row r="76" spans="1:15" ht="14.4" customHeight="1" x14ac:dyDescent="0.3">
      <c r="A76" s="44" t="s">
        <v>41</v>
      </c>
      <c r="B76" s="36" t="s">
        <v>42</v>
      </c>
      <c r="C76" s="35">
        <v>245</v>
      </c>
      <c r="D76" s="35">
        <v>2626</v>
      </c>
      <c r="E76" s="35">
        <v>312</v>
      </c>
      <c r="F76" s="35"/>
      <c r="G76" s="35"/>
      <c r="H76" s="35"/>
      <c r="I76" s="35"/>
      <c r="J76" s="35"/>
      <c r="K76" s="35"/>
      <c r="L76" s="35"/>
      <c r="M76" s="35"/>
      <c r="N76" s="35"/>
      <c r="O76" s="37">
        <f t="shared" ref="O76:O85" si="11">SUM(C76:N76)</f>
        <v>3183</v>
      </c>
    </row>
    <row r="77" spans="1:15" x14ac:dyDescent="0.3">
      <c r="A77" s="41"/>
      <c r="B77" s="36" t="s">
        <v>43</v>
      </c>
      <c r="C77" s="35">
        <v>84</v>
      </c>
      <c r="D77" s="35">
        <v>3434</v>
      </c>
      <c r="E77" s="35">
        <v>29</v>
      </c>
      <c r="F77" s="35"/>
      <c r="G77" s="35"/>
      <c r="H77" s="35"/>
      <c r="I77" s="35"/>
      <c r="J77" s="35"/>
      <c r="K77" s="35"/>
      <c r="L77" s="35"/>
      <c r="M77" s="35"/>
      <c r="N77" s="35"/>
      <c r="O77" s="37">
        <f t="shared" si="11"/>
        <v>3547</v>
      </c>
    </row>
    <row r="78" spans="1:15" x14ac:dyDescent="0.3">
      <c r="A78" s="41"/>
      <c r="B78" s="36" t="s">
        <v>44</v>
      </c>
      <c r="C78" s="35">
        <v>96</v>
      </c>
      <c r="D78" s="35">
        <v>4252</v>
      </c>
      <c r="E78" s="35">
        <v>31</v>
      </c>
      <c r="F78" s="35"/>
      <c r="G78" s="35"/>
      <c r="H78" s="35"/>
      <c r="I78" s="35"/>
      <c r="J78" s="35"/>
      <c r="K78" s="35"/>
      <c r="L78" s="35"/>
      <c r="M78" s="35"/>
      <c r="N78" s="35"/>
      <c r="O78" s="37">
        <f t="shared" si="11"/>
        <v>4379</v>
      </c>
    </row>
    <row r="79" spans="1:15" x14ac:dyDescent="0.3">
      <c r="A79" s="41"/>
      <c r="B79" s="36" t="s">
        <v>45</v>
      </c>
      <c r="C79" s="35">
        <v>1220</v>
      </c>
      <c r="D79" s="35">
        <v>102</v>
      </c>
      <c r="E79" s="35">
        <v>42</v>
      </c>
      <c r="F79" s="35"/>
      <c r="G79" s="35"/>
      <c r="H79" s="35"/>
      <c r="I79" s="35"/>
      <c r="J79" s="35"/>
      <c r="K79" s="35"/>
      <c r="L79" s="35"/>
      <c r="M79" s="35"/>
      <c r="N79" s="35"/>
      <c r="O79" s="37">
        <f t="shared" si="11"/>
        <v>1364</v>
      </c>
    </row>
    <row r="80" spans="1:15" x14ac:dyDescent="0.3">
      <c r="A80" s="41"/>
      <c r="B80" s="36" t="s">
        <v>46</v>
      </c>
      <c r="C80" s="35">
        <v>100</v>
      </c>
      <c r="D80" s="35">
        <v>999</v>
      </c>
      <c r="E80" s="35">
        <v>99</v>
      </c>
      <c r="F80" s="35"/>
      <c r="G80" s="35"/>
      <c r="H80" s="35"/>
      <c r="I80" s="35"/>
      <c r="J80" s="35"/>
      <c r="K80" s="35"/>
      <c r="L80" s="35"/>
      <c r="M80" s="35"/>
      <c r="N80" s="35"/>
      <c r="O80" s="37">
        <f t="shared" si="11"/>
        <v>1198</v>
      </c>
    </row>
    <row r="81" spans="1:15" x14ac:dyDescent="0.3">
      <c r="A81" s="41"/>
      <c r="B81" s="36" t="s">
        <v>47</v>
      </c>
      <c r="C81" s="35">
        <v>3000</v>
      </c>
      <c r="D81" s="35">
        <v>122</v>
      </c>
      <c r="E81" s="35">
        <v>4555</v>
      </c>
      <c r="F81" s="35"/>
      <c r="G81" s="35"/>
      <c r="H81" s="35"/>
      <c r="I81" s="35"/>
      <c r="J81" s="35"/>
      <c r="K81" s="35"/>
      <c r="L81" s="35"/>
      <c r="M81" s="35"/>
      <c r="N81" s="35"/>
      <c r="O81" s="37">
        <f t="shared" si="11"/>
        <v>7677</v>
      </c>
    </row>
    <row r="82" spans="1:15" x14ac:dyDescent="0.3">
      <c r="A82" s="41"/>
      <c r="B82" s="36" t="s">
        <v>48</v>
      </c>
      <c r="C82" s="35">
        <v>450</v>
      </c>
      <c r="D82" s="35">
        <v>354</v>
      </c>
      <c r="E82" s="35">
        <v>8444</v>
      </c>
      <c r="F82" s="35"/>
      <c r="G82" s="35"/>
      <c r="H82" s="35"/>
      <c r="I82" s="35"/>
      <c r="J82" s="35"/>
      <c r="K82" s="35"/>
      <c r="L82" s="35"/>
      <c r="M82" s="35"/>
      <c r="N82" s="35"/>
      <c r="O82" s="37">
        <f t="shared" si="11"/>
        <v>9248</v>
      </c>
    </row>
    <row r="83" spans="1:15" x14ac:dyDescent="0.3">
      <c r="A83" s="41"/>
      <c r="B83" s="36" t="s">
        <v>49</v>
      </c>
      <c r="C83" s="35">
        <v>99</v>
      </c>
      <c r="D83" s="35">
        <v>140</v>
      </c>
      <c r="E83" s="35">
        <v>2</v>
      </c>
      <c r="F83" s="35"/>
      <c r="G83" s="35"/>
      <c r="H83" s="35"/>
      <c r="I83" s="35"/>
      <c r="J83" s="35"/>
      <c r="K83" s="35"/>
      <c r="L83" s="35"/>
      <c r="M83" s="35"/>
      <c r="N83" s="35"/>
      <c r="O83" s="37">
        <f t="shared" si="11"/>
        <v>241</v>
      </c>
    </row>
    <row r="84" spans="1:15" x14ac:dyDescent="0.3">
      <c r="A84" s="41"/>
      <c r="B84" s="36" t="s">
        <v>50</v>
      </c>
      <c r="C84" s="35">
        <v>135</v>
      </c>
      <c r="D84" s="35">
        <v>92</v>
      </c>
      <c r="E84" s="35">
        <v>1</v>
      </c>
      <c r="F84" s="35"/>
      <c r="G84" s="35"/>
      <c r="H84" s="35"/>
      <c r="I84" s="35"/>
      <c r="J84" s="35"/>
      <c r="K84" s="35"/>
      <c r="L84" s="35"/>
      <c r="M84" s="35"/>
      <c r="N84" s="35"/>
      <c r="O84" s="37">
        <f t="shared" si="11"/>
        <v>228</v>
      </c>
    </row>
    <row r="85" spans="1:15" x14ac:dyDescent="0.3">
      <c r="A85" s="34"/>
      <c r="B85" s="36" t="s">
        <v>13</v>
      </c>
      <c r="C85" s="35">
        <f t="shared" ref="C85:N85" si="12">SUM(C76:C84)</f>
        <v>5429</v>
      </c>
      <c r="D85" s="35">
        <f t="shared" si="12"/>
        <v>12121</v>
      </c>
      <c r="E85" s="35">
        <f t="shared" si="12"/>
        <v>13515</v>
      </c>
      <c r="F85" s="35">
        <f t="shared" si="12"/>
        <v>0</v>
      </c>
      <c r="G85" s="35">
        <f t="shared" si="12"/>
        <v>0</v>
      </c>
      <c r="H85" s="35">
        <f t="shared" si="12"/>
        <v>0</v>
      </c>
      <c r="I85" s="35">
        <f t="shared" si="12"/>
        <v>0</v>
      </c>
      <c r="J85" s="35">
        <f t="shared" si="12"/>
        <v>0</v>
      </c>
      <c r="K85" s="35">
        <f t="shared" si="12"/>
        <v>0</v>
      </c>
      <c r="L85" s="35">
        <f t="shared" si="12"/>
        <v>0</v>
      </c>
      <c r="M85" s="35">
        <f t="shared" si="12"/>
        <v>0</v>
      </c>
      <c r="N85" s="35">
        <f t="shared" si="12"/>
        <v>0</v>
      </c>
      <c r="O85" s="37">
        <f t="shared" si="11"/>
        <v>31065</v>
      </c>
    </row>
    <row r="86" spans="1:15" ht="14.4" customHeight="1" x14ac:dyDescent="0.3">
      <c r="A86" s="44" t="s">
        <v>51</v>
      </c>
      <c r="B86" s="36" t="s">
        <v>52</v>
      </c>
      <c r="C86" s="10">
        <v>4550</v>
      </c>
      <c r="D86" s="10">
        <v>4500</v>
      </c>
      <c r="E86" s="10">
        <v>7240</v>
      </c>
      <c r="F86" s="10"/>
      <c r="G86" s="10"/>
      <c r="H86" s="10"/>
      <c r="I86" s="10"/>
      <c r="J86" s="10"/>
      <c r="K86" s="10"/>
      <c r="L86" s="10"/>
      <c r="M86" s="10"/>
      <c r="N86" s="10"/>
      <c r="O86" s="11">
        <f>SUM(C86:N86)</f>
        <v>16290</v>
      </c>
    </row>
    <row r="87" spans="1:15" x14ac:dyDescent="0.3">
      <c r="A87" s="41"/>
      <c r="B87" s="36" t="s">
        <v>53</v>
      </c>
      <c r="C87" s="10">
        <v>1250</v>
      </c>
      <c r="D87" s="10">
        <v>1235</v>
      </c>
      <c r="E87" s="10">
        <v>3330</v>
      </c>
      <c r="F87" s="10"/>
      <c r="G87" s="10"/>
      <c r="H87" s="10"/>
      <c r="I87" s="10"/>
      <c r="J87" s="10"/>
      <c r="K87" s="10"/>
      <c r="L87" s="10"/>
      <c r="M87" s="10"/>
      <c r="N87" s="10"/>
      <c r="O87" s="11">
        <f>SUM(C87:N87)</f>
        <v>5815</v>
      </c>
    </row>
    <row r="88" spans="1:15" x14ac:dyDescent="0.3">
      <c r="A88" s="34"/>
      <c r="B88" s="36" t="s">
        <v>13</v>
      </c>
      <c r="C88" s="11">
        <f t="shared" ref="C88:N88" si="13">SUM(C86:C87)</f>
        <v>5800</v>
      </c>
      <c r="D88" s="11">
        <f t="shared" si="13"/>
        <v>5735</v>
      </c>
      <c r="E88" s="11">
        <f t="shared" si="13"/>
        <v>10570</v>
      </c>
      <c r="F88" s="11">
        <f t="shared" si="13"/>
        <v>0</v>
      </c>
      <c r="G88" s="11">
        <f t="shared" si="13"/>
        <v>0</v>
      </c>
      <c r="H88" s="11">
        <f t="shared" si="13"/>
        <v>0</v>
      </c>
      <c r="I88" s="11">
        <f t="shared" si="13"/>
        <v>0</v>
      </c>
      <c r="J88" s="11">
        <f t="shared" si="13"/>
        <v>0</v>
      </c>
      <c r="K88" s="11">
        <f t="shared" si="13"/>
        <v>0</v>
      </c>
      <c r="L88" s="11">
        <f t="shared" si="13"/>
        <v>0</v>
      </c>
      <c r="M88" s="11">
        <f t="shared" si="13"/>
        <v>0</v>
      </c>
      <c r="N88" s="11">
        <f t="shared" si="13"/>
        <v>0</v>
      </c>
      <c r="O88" s="11">
        <f>SUM(C88:N88)</f>
        <v>22105</v>
      </c>
    </row>
    <row r="89" spans="1:15" x14ac:dyDescent="0.3">
      <c r="A89" s="27" t="s">
        <v>54</v>
      </c>
      <c r="B89" s="36" t="s">
        <v>13</v>
      </c>
      <c r="C89" s="37">
        <v>10</v>
      </c>
      <c r="D89" s="37">
        <v>12</v>
      </c>
      <c r="E89" s="37">
        <v>9</v>
      </c>
      <c r="F89" s="37">
        <v>5</v>
      </c>
      <c r="G89" s="37"/>
      <c r="H89" s="37"/>
      <c r="I89" s="37"/>
      <c r="J89" s="37"/>
      <c r="K89" s="37"/>
      <c r="L89" s="37"/>
      <c r="M89" s="37"/>
      <c r="N89" s="37"/>
      <c r="O89" s="11">
        <f>SUM(C89:N89)</f>
        <v>36</v>
      </c>
    </row>
  </sheetData>
  <mergeCells count="21">
    <mergeCell ref="A72:A74"/>
    <mergeCell ref="A76:A84"/>
    <mergeCell ref="A86:A87"/>
    <mergeCell ref="A49:B49"/>
    <mergeCell ref="A50:B50"/>
    <mergeCell ref="A51:B51"/>
    <mergeCell ref="A52:B52"/>
    <mergeCell ref="A53:A59"/>
    <mergeCell ref="A60:A65"/>
    <mergeCell ref="A8:A14"/>
    <mergeCell ref="A15:A20"/>
    <mergeCell ref="A27:A30"/>
    <mergeCell ref="A31:A40"/>
    <mergeCell ref="A41:A43"/>
    <mergeCell ref="A48:B48"/>
    <mergeCell ref="A1:O1"/>
    <mergeCell ref="A3:B3"/>
    <mergeCell ref="A4:B4"/>
    <mergeCell ref="A5:B5"/>
    <mergeCell ref="A6:B6"/>
    <mergeCell ref="A7:B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miguel</dc:creator>
  <cp:lastModifiedBy>angelo miguel</cp:lastModifiedBy>
  <dcterms:created xsi:type="dcterms:W3CDTF">2026-03-12T13:37:08Z</dcterms:created>
  <dcterms:modified xsi:type="dcterms:W3CDTF">2026-03-12T13:54:11Z</dcterms:modified>
</cp:coreProperties>
</file>